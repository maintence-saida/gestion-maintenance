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licers/slicer1.xml" ContentType="application/vnd.ms-excel.slicer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5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6.xml" ContentType="application/vnd.openxmlformats-officedocument.drawing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ap de maint  2025\trim 4 2025\ocp bayadh\"/>
    </mc:Choice>
  </mc:AlternateContent>
  <bookViews>
    <workbookView xWindow="0" yWindow="0" windowWidth="21600" windowHeight="9735" activeTab="4"/>
  </bookViews>
  <sheets>
    <sheet name="Acceuil" sheetId="1" r:id="rId1"/>
    <sheet name="Liste de donnees" sheetId="2" r:id="rId2"/>
    <sheet name="Informatique" sheetId="3" r:id="rId3"/>
    <sheet name="Topograpique" sheetId="4" r:id="rId4"/>
    <sheet name="Didactique" sheetId="5" r:id="rId5"/>
    <sheet name="intervention enie" sheetId="6" r:id="rId6"/>
  </sheets>
  <definedNames>
    <definedName name="cem">Tableau1[cem]</definedName>
    <definedName name="dida">Tableau1[e/dida]</definedName>
    <definedName name="dr">Tableau1[directio]</definedName>
    <definedName name="ep">Tableau1[ep]</definedName>
    <definedName name="info">Tableau1[e/infortq]</definedName>
    <definedName name="lyc">Tableau1[lycee]</definedName>
    <definedName name="pdr">Tableau1[[pdr ]]</definedName>
    <definedName name="Segment_etablisement">#N/A</definedName>
    <definedName name="Segment_re_nre">#N/A</definedName>
    <definedName name="Segment_re_nre1">#N/A</definedName>
    <definedName name="Segment_re_nre2">#N/A</definedName>
    <definedName name="Segment_technicien">#N/A</definedName>
    <definedName name="Segment_technicien1">#N/A</definedName>
    <definedName name="Segment_technicien2">#N/A</definedName>
    <definedName name="tech">Tableau1[[nom technicien ]]</definedName>
    <definedName name="topo">Tableau1[e/topo]</definedName>
    <definedName name="wilaya">Tableau1[wilya]</definedName>
  </definedNames>
  <calcPr calcId="152511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  <x14:slicerCache r:id="rId8"/>
        <x14:slicerCache r:id="rId9"/>
        <x14:slicerCache r:id="rId10"/>
        <x14:slicerCache r:id="rId11"/>
        <x14:slicerCache r:id="rId12"/>
        <x14:slicerCache r:id="rId13"/>
      </x15:slicerCache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3" i="5" l="1"/>
  <c r="V23" i="5"/>
  <c r="W23" i="5"/>
  <c r="U45" i="4"/>
  <c r="V45" i="4"/>
  <c r="W45" i="4"/>
  <c r="U33" i="4"/>
  <c r="V33" i="4"/>
  <c r="W33" i="4"/>
  <c r="U23" i="4"/>
  <c r="V23" i="4"/>
  <c r="W23" i="4"/>
  <c r="U10" i="4"/>
  <c r="V10" i="4"/>
  <c r="W10" i="4"/>
  <c r="G17" i="2" l="1"/>
  <c r="V47" i="5" l="1"/>
  <c r="W47" i="5"/>
  <c r="U47" i="5"/>
  <c r="V37" i="5"/>
  <c r="W37" i="5"/>
  <c r="U37" i="5"/>
  <c r="V10" i="5"/>
  <c r="W10" i="5"/>
  <c r="U10" i="5"/>
  <c r="V104" i="3"/>
  <c r="H29" i="1" s="1"/>
  <c r="W104" i="3"/>
  <c r="U104" i="3"/>
  <c r="G29" i="1" s="1"/>
  <c r="V85" i="3"/>
  <c r="H28" i="1" s="1"/>
  <c r="W85" i="3"/>
  <c r="U85" i="3"/>
  <c r="G28" i="1" s="1"/>
  <c r="W74" i="3"/>
  <c r="V74" i="3"/>
  <c r="U74" i="3"/>
  <c r="G27" i="1" s="1"/>
  <c r="U61" i="3"/>
  <c r="G26" i="1" s="1"/>
  <c r="V61" i="3"/>
  <c r="W61" i="3"/>
  <c r="H27" i="1" l="1"/>
  <c r="K1" i="5"/>
  <c r="N7" i="1" s="1"/>
  <c r="J1" i="5"/>
  <c r="M7" i="1" s="1"/>
  <c r="J1" i="4"/>
  <c r="M6" i="1" s="1"/>
  <c r="H26" i="1"/>
  <c r="H30" i="1" s="1"/>
  <c r="G30" i="1"/>
  <c r="K1" i="3"/>
  <c r="J1" i="3"/>
  <c r="M5" i="1" s="1"/>
  <c r="I27" i="1"/>
  <c r="L1" i="5"/>
  <c r="O7" i="1" s="1"/>
  <c r="I28" i="1"/>
  <c r="I29" i="1"/>
  <c r="L1" i="3"/>
  <c r="O5" i="1" s="1"/>
  <c r="I26" i="1"/>
  <c r="L1" i="4"/>
  <c r="K1" i="4"/>
  <c r="F5" i="1" l="1"/>
  <c r="F6" i="1"/>
  <c r="I30" i="1"/>
  <c r="F7" i="1"/>
  <c r="O6" i="1"/>
  <c r="N6" i="1"/>
  <c r="N5" i="1" l="1"/>
</calcChain>
</file>

<file path=xl/sharedStrings.xml><?xml version="1.0" encoding="utf-8"?>
<sst xmlns="http://schemas.openxmlformats.org/spreadsheetml/2006/main" count="1372" uniqueCount="308">
  <si>
    <t xml:space="preserve">nom technicien </t>
  </si>
  <si>
    <t>wilya</t>
  </si>
  <si>
    <t>ep</t>
  </si>
  <si>
    <t>cem</t>
  </si>
  <si>
    <t>lycee</t>
  </si>
  <si>
    <t>directio</t>
  </si>
  <si>
    <t xml:space="preserve">pdr </t>
  </si>
  <si>
    <t>obeid ben said</t>
  </si>
  <si>
    <t xml:space="preserve">hafnaoui samir </t>
  </si>
  <si>
    <t>amara mostefa</t>
  </si>
  <si>
    <t>ouimeur norddine</t>
  </si>
  <si>
    <t>hossam mokhtari</t>
  </si>
  <si>
    <t xml:space="preserve">ghaout mohamed </t>
  </si>
  <si>
    <t>mezian amine</t>
  </si>
  <si>
    <t>aouar abdekrim</t>
  </si>
  <si>
    <t>saida</t>
  </si>
  <si>
    <t>el bayadh</t>
  </si>
  <si>
    <t>timimoun</t>
  </si>
  <si>
    <t>adrar</t>
  </si>
  <si>
    <t xml:space="preserve">boite alimentation </t>
  </si>
  <si>
    <t>fusible</t>
  </si>
  <si>
    <t xml:space="preserve">eclataire </t>
  </si>
  <si>
    <t>dalle 18pouss</t>
  </si>
  <si>
    <t>dalle21 pousse</t>
  </si>
  <si>
    <t>ecran complet</t>
  </si>
  <si>
    <t>carte alimentation</t>
  </si>
  <si>
    <t>d -education</t>
  </si>
  <si>
    <t>e/infortq</t>
  </si>
  <si>
    <t>unite central</t>
  </si>
  <si>
    <t xml:space="preserve">imprimante </t>
  </si>
  <si>
    <t xml:space="preserve">onduleur </t>
  </si>
  <si>
    <t xml:space="preserve">tablette </t>
  </si>
  <si>
    <t>not book</t>
  </si>
  <si>
    <t>e/topo</t>
  </si>
  <si>
    <t>photocopieur</t>
  </si>
  <si>
    <t>duplicateur</t>
  </si>
  <si>
    <t>e/dida</t>
  </si>
  <si>
    <t>datashow</t>
  </si>
  <si>
    <t>empermetre</t>
  </si>
  <si>
    <t>voltmetre</t>
  </si>
  <si>
    <t>balance</t>
  </si>
  <si>
    <t>emplificateur</t>
  </si>
  <si>
    <t>alimentation-s</t>
  </si>
  <si>
    <t xml:space="preserve">equipement des ecole primaire </t>
  </si>
  <si>
    <t xml:space="preserve">equipement </t>
  </si>
  <si>
    <t xml:space="preserve">marque </t>
  </si>
  <si>
    <t xml:space="preserve">inventaire </t>
  </si>
  <si>
    <t>n serie</t>
  </si>
  <si>
    <t xml:space="preserve">etablisement </t>
  </si>
  <si>
    <t xml:space="preserve">wilaya </t>
  </si>
  <si>
    <t>commune</t>
  </si>
  <si>
    <t xml:space="preserve"> date recp</t>
  </si>
  <si>
    <t>panne</t>
  </si>
  <si>
    <t>technicien</t>
  </si>
  <si>
    <t>operation</t>
  </si>
  <si>
    <t>pdr</t>
  </si>
  <si>
    <t>reference</t>
  </si>
  <si>
    <t>qt</t>
  </si>
  <si>
    <t>re/nre</t>
  </si>
  <si>
    <t>ras</t>
  </si>
  <si>
    <t>fait</t>
  </si>
  <si>
    <t>non</t>
  </si>
  <si>
    <t>equipement des cem</t>
  </si>
  <si>
    <t>rec</t>
  </si>
  <si>
    <t>re</t>
  </si>
  <si>
    <t>nr</t>
  </si>
  <si>
    <t>date env</t>
  </si>
  <si>
    <t>oui</t>
  </si>
  <si>
    <t>equipement des lycee</t>
  </si>
  <si>
    <t>equipement dautre direction</t>
  </si>
  <si>
    <t>pay</t>
  </si>
  <si>
    <t xml:space="preserve">liste des donnees </t>
  </si>
  <si>
    <t>recut</t>
  </si>
  <si>
    <t>reparee</t>
  </si>
  <si>
    <t>n_repree</t>
  </si>
  <si>
    <t>totale</t>
  </si>
  <si>
    <t>totale/eq</t>
  </si>
  <si>
    <t>n_rep</t>
  </si>
  <si>
    <t>rep</t>
  </si>
  <si>
    <t>nrp</t>
  </si>
  <si>
    <t>info</t>
  </si>
  <si>
    <t>topo</t>
  </si>
  <si>
    <t>dida</t>
  </si>
  <si>
    <t>lyc</t>
  </si>
  <si>
    <t xml:space="preserve"> D-ed</t>
  </si>
  <si>
    <t>n-rep</t>
  </si>
  <si>
    <t>type equipement</t>
  </si>
  <si>
    <t>syst</t>
  </si>
  <si>
    <t>nettoyage</t>
  </si>
  <si>
    <t>chahid djabar chikh</t>
  </si>
  <si>
    <t>barket mohamed</t>
  </si>
  <si>
    <t>houari boumedien</t>
  </si>
  <si>
    <t>youcefi ben chrit</t>
  </si>
  <si>
    <t>hamidi hamza</t>
  </si>
  <si>
    <t>naamaoui ben youcef</t>
  </si>
  <si>
    <t>enie</t>
  </si>
  <si>
    <t>skte119e</t>
  </si>
  <si>
    <t>rogassa</t>
  </si>
  <si>
    <t>soft</t>
  </si>
  <si>
    <t>202305007291</t>
  </si>
  <si>
    <t>202305007066</t>
  </si>
  <si>
    <t>202305007054</t>
  </si>
  <si>
    <t>mise a jour maktabati</t>
  </si>
  <si>
    <t>kyocera</t>
  </si>
  <si>
    <t>m2135</t>
  </si>
  <si>
    <t>ig/1261</t>
  </si>
  <si>
    <t>a arak</t>
  </si>
  <si>
    <t>microscop-avec ecran</t>
  </si>
  <si>
    <t>presser</t>
  </si>
  <si>
    <t>ig/g6419</t>
  </si>
  <si>
    <t>ig/g6119</t>
  </si>
  <si>
    <t>ig/g8293</t>
  </si>
  <si>
    <t>boualem</t>
  </si>
  <si>
    <t>2022028645</t>
  </si>
  <si>
    <t>skt706</t>
  </si>
  <si>
    <t>2022047241</t>
  </si>
  <si>
    <t>2022022315</t>
  </si>
  <si>
    <t>2022045055</t>
  </si>
  <si>
    <t>202305001838</t>
  </si>
  <si>
    <t>chellala</t>
  </si>
  <si>
    <t>202305001709</t>
  </si>
  <si>
    <t>202305001524</t>
  </si>
  <si>
    <t>livre</t>
  </si>
  <si>
    <t>instalation livre</t>
  </si>
  <si>
    <t>stiten</t>
  </si>
  <si>
    <t>202305001802</t>
  </si>
  <si>
    <t>2023005001497</t>
  </si>
  <si>
    <t>2023005001583</t>
  </si>
  <si>
    <t>2023005001634</t>
  </si>
  <si>
    <t>2023005001804</t>
  </si>
  <si>
    <t>2023005001571</t>
  </si>
  <si>
    <t>2023005001244</t>
  </si>
  <si>
    <t>2023005001635</t>
  </si>
  <si>
    <t>2023005001800</t>
  </si>
  <si>
    <t>2023005001438</t>
  </si>
  <si>
    <t>2023005001580</t>
  </si>
  <si>
    <t>battrie</t>
  </si>
  <si>
    <t xml:space="preserve">chargement </t>
  </si>
  <si>
    <t>afficheur</t>
  </si>
  <si>
    <t>aficheur tablette</t>
  </si>
  <si>
    <t>scanner</t>
  </si>
  <si>
    <t>hp</t>
  </si>
  <si>
    <t>scanjet</t>
  </si>
  <si>
    <t>310/1347/1710</t>
  </si>
  <si>
    <t>chargement battrie</t>
  </si>
  <si>
    <t>serveur</t>
  </si>
  <si>
    <t>batrie</t>
  </si>
  <si>
    <t xml:space="preserve">chargement batrie </t>
  </si>
  <si>
    <t>ecran digital non fonctionel</t>
  </si>
  <si>
    <t>ecran digital</t>
  </si>
  <si>
    <t>charement battrie</t>
  </si>
  <si>
    <t>chargement</t>
  </si>
  <si>
    <t xml:space="preserve">chahrgement battrie </t>
  </si>
  <si>
    <t>bousssag djelloul</t>
  </si>
  <si>
    <t>2022028890</t>
  </si>
  <si>
    <t>bougtob</t>
  </si>
  <si>
    <t>202202928</t>
  </si>
  <si>
    <t>2022028840</t>
  </si>
  <si>
    <t>2022028849</t>
  </si>
  <si>
    <t xml:space="preserve">bouton tablette </t>
  </si>
  <si>
    <t xml:space="preserve">fixation du boutton </t>
  </si>
  <si>
    <t>livre english</t>
  </si>
  <si>
    <t>daygham</t>
  </si>
  <si>
    <t>222053953</t>
  </si>
  <si>
    <t>arbaouet</t>
  </si>
  <si>
    <t>activation compte eleve</t>
  </si>
  <si>
    <t>rzazgui boualem</t>
  </si>
  <si>
    <t>2022028483</t>
  </si>
  <si>
    <t xml:space="preserve">batrie </t>
  </si>
  <si>
    <t>2022028598</t>
  </si>
  <si>
    <t>2022028581</t>
  </si>
  <si>
    <t>naouari housin</t>
  </si>
  <si>
    <t>fixation des visse</t>
  </si>
  <si>
    <t>taskalfa</t>
  </si>
  <si>
    <t>ig/11572</t>
  </si>
  <si>
    <t>taskalfa 180</t>
  </si>
  <si>
    <t>mhamed boukhobza</t>
  </si>
  <si>
    <t>elbayadh</t>
  </si>
  <si>
    <t>rong gd04</t>
  </si>
  <si>
    <t>vr231</t>
  </si>
  <si>
    <t xml:space="preserve">canon </t>
  </si>
  <si>
    <t>5960/28228</t>
  </si>
  <si>
    <t>lbp 2900</t>
  </si>
  <si>
    <t>del</t>
  </si>
  <si>
    <t>optiplex 3020</t>
  </si>
  <si>
    <t>fhxhj32</t>
  </si>
  <si>
    <t>elit desk</t>
  </si>
  <si>
    <t>czc4523h8r</t>
  </si>
  <si>
    <t>2312012530</t>
  </si>
  <si>
    <t>brahmi mohamed</t>
  </si>
  <si>
    <t xml:space="preserve">ricoh </t>
  </si>
  <si>
    <t>ig/690</t>
  </si>
  <si>
    <t>dx2430</t>
  </si>
  <si>
    <t>ghassoul</t>
  </si>
  <si>
    <t>pris</t>
  </si>
  <si>
    <t>ig/0037</t>
  </si>
  <si>
    <t>mp2014p</t>
  </si>
  <si>
    <t>fax</t>
  </si>
  <si>
    <t>skt119</t>
  </si>
  <si>
    <t>abdeli ramdan</t>
  </si>
  <si>
    <t>tosmolin</t>
  </si>
  <si>
    <t>skt120</t>
  </si>
  <si>
    <t>202305003517</t>
  </si>
  <si>
    <t>202305002747</t>
  </si>
  <si>
    <t xml:space="preserve"> 20230500273</t>
  </si>
  <si>
    <t>20230500264</t>
  </si>
  <si>
    <t xml:space="preserve"> 20230500281</t>
  </si>
  <si>
    <t xml:space="preserve"> 20230500256</t>
  </si>
  <si>
    <t>20230500259</t>
  </si>
  <si>
    <t>20230500258</t>
  </si>
  <si>
    <t>20230500265</t>
  </si>
  <si>
    <t>20230500262</t>
  </si>
  <si>
    <t>20230500367</t>
  </si>
  <si>
    <t>20230500283</t>
  </si>
  <si>
    <t>20230500298</t>
  </si>
  <si>
    <t>brother</t>
  </si>
  <si>
    <t>mfcj6530w</t>
  </si>
  <si>
    <t>17583419</t>
  </si>
  <si>
    <t>ecran tactile non fonctionel</t>
  </si>
  <si>
    <t>ecran tactile</t>
  </si>
  <si>
    <t>zani mohamed</t>
  </si>
  <si>
    <t>fs1120mfp</t>
  </si>
  <si>
    <t>v3v7901634</t>
  </si>
  <si>
    <t>prodesk</t>
  </si>
  <si>
    <t>ig/1869</t>
  </si>
  <si>
    <t>el baydh</t>
  </si>
  <si>
    <t>6zc53615ny</t>
  </si>
  <si>
    <t>glob</t>
  </si>
  <si>
    <t>cmmh55hl2</t>
  </si>
  <si>
    <t>canon</t>
  </si>
  <si>
    <t>lbp6030</t>
  </si>
  <si>
    <t>lbp3010</t>
  </si>
  <si>
    <t>hl1110</t>
  </si>
  <si>
    <t>nmba/03157mu</t>
  </si>
  <si>
    <t>nsmaso2578</t>
  </si>
  <si>
    <t>nnba/28065</t>
  </si>
  <si>
    <t>pbna602214</t>
  </si>
  <si>
    <t>ncna346087</t>
  </si>
  <si>
    <t>nnba226311</t>
  </si>
  <si>
    <t>nrda226079</t>
  </si>
  <si>
    <t>ig/1183</t>
  </si>
  <si>
    <t>7n257235</t>
  </si>
  <si>
    <t xml:space="preserve">vostro3671 </t>
  </si>
  <si>
    <t>scjlh6933</t>
  </si>
  <si>
    <t>1102kl3nl</t>
  </si>
  <si>
    <t>m20350dn</t>
  </si>
  <si>
    <t>lvq560941</t>
  </si>
  <si>
    <t>fs1120</t>
  </si>
  <si>
    <t>r7g8202362</t>
  </si>
  <si>
    <t>ir 2124</t>
  </si>
  <si>
    <t>ig1911</t>
  </si>
  <si>
    <t>ir2206</t>
  </si>
  <si>
    <t>2fai7277</t>
  </si>
  <si>
    <t>km1635</t>
  </si>
  <si>
    <t>panasonic</t>
  </si>
  <si>
    <t>microscop</t>
  </si>
  <si>
    <t>xp103a</t>
  </si>
  <si>
    <t>xsp103</t>
  </si>
  <si>
    <t>xsp104</t>
  </si>
  <si>
    <t>xsp105</t>
  </si>
  <si>
    <t>xsp106</t>
  </si>
  <si>
    <t>xsp107</t>
  </si>
  <si>
    <t>dcp1510</t>
  </si>
  <si>
    <t>ig/1328</t>
  </si>
  <si>
    <t>ig6663</t>
  </si>
  <si>
    <t>e7214518</t>
  </si>
  <si>
    <t>ig7839</t>
  </si>
  <si>
    <t xml:space="preserve">Intervetion enie tablette </t>
  </si>
  <si>
    <t>etablisement</t>
  </si>
  <si>
    <t>marchee</t>
  </si>
  <si>
    <t>model</t>
  </si>
  <si>
    <t xml:space="preserve">n serie </t>
  </si>
  <si>
    <t>panne signales</t>
  </si>
  <si>
    <t>defau constate</t>
  </si>
  <si>
    <t>tache efectuees</t>
  </si>
  <si>
    <t>pdr  remplace</t>
  </si>
  <si>
    <t>enie skt119e</t>
  </si>
  <si>
    <t>202305000927</t>
  </si>
  <si>
    <t>system+ maktabati</t>
  </si>
  <si>
    <t>date</t>
  </si>
  <si>
    <t>flash tool+maktabati</t>
  </si>
  <si>
    <t>202305003596</t>
  </si>
  <si>
    <t>maktabati</t>
  </si>
  <si>
    <t>instalation+validation</t>
  </si>
  <si>
    <t>202305000657</t>
  </si>
  <si>
    <t>202305000954</t>
  </si>
  <si>
    <t>battrie+ maktabati</t>
  </si>
  <si>
    <t>chagement battrie+maktabati</t>
  </si>
  <si>
    <t>202305003609</t>
  </si>
  <si>
    <t>202305000949</t>
  </si>
  <si>
    <t>202305000767</t>
  </si>
  <si>
    <t>202305000292</t>
  </si>
  <si>
    <t>202305003590</t>
  </si>
  <si>
    <t>202305002192</t>
  </si>
  <si>
    <t>chagement battrie</t>
  </si>
  <si>
    <t>qr code</t>
  </si>
  <si>
    <t>202305000750</t>
  </si>
  <si>
    <t>202305000451</t>
  </si>
  <si>
    <t>202305003603</t>
  </si>
  <si>
    <t>202305003587</t>
  </si>
  <si>
    <t>202305003055</t>
  </si>
  <si>
    <t>202305003056</t>
  </si>
  <si>
    <t>202305000795</t>
  </si>
  <si>
    <t xml:space="preserve"> placement disque dure</t>
  </si>
  <si>
    <t xml:space="preserve">disque dure </t>
  </si>
  <si>
    <t>etablissemnt</t>
  </si>
  <si>
    <t>nbr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</si>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</sst>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36"/>
      <color rgb="FF66B7AD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20"/>
      <color rgb="FF4AA3A2"/>
      <name val="Calibri"/>
      <family val="2"/>
      <scheme val="minor"/>
    </font>
    <font>
      <b/>
      <sz val="18"/>
      <color rgb="FF00353F"/>
      <name val="Calibri"/>
      <family val="2"/>
      <scheme val="minor"/>
    </font>
    <font>
      <b/>
      <sz val="18"/>
      <color rgb="FF4B5943"/>
      <name val="Calibri"/>
      <family val="2"/>
      <scheme val="minor"/>
    </font>
    <font>
      <sz val="11"/>
      <color rgb="FF4B5943"/>
      <name val="Calibri"/>
      <family val="2"/>
      <scheme val="minor"/>
    </font>
    <font>
      <sz val="12"/>
      <color theme="1"/>
      <name val="Calibri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4FDFB"/>
        <bgColor indexed="64"/>
      </patternFill>
    </fill>
    <fill>
      <patternFill patternType="solid">
        <fgColor rgb="FFFEECE6"/>
        <bgColor indexed="64"/>
      </patternFill>
    </fill>
    <fill>
      <patternFill patternType="solid">
        <fgColor rgb="FFE8AABE"/>
        <bgColor indexed="64"/>
      </patternFill>
    </fill>
    <fill>
      <patternFill patternType="solid">
        <fgColor rgb="FFA7E0E0"/>
        <bgColor indexed="64"/>
      </patternFill>
    </fill>
    <fill>
      <patternFill patternType="solid">
        <fgColor rgb="FF430C05"/>
        <bgColor indexed="64"/>
      </patternFill>
    </fill>
    <fill>
      <patternFill patternType="solid">
        <fgColor rgb="FF08C5D1"/>
        <bgColor indexed="64"/>
      </patternFill>
    </fill>
    <fill>
      <patternFill patternType="solid">
        <fgColor rgb="FFA89723"/>
        <bgColor indexed="64"/>
      </patternFill>
    </fill>
    <fill>
      <patternFill patternType="solid">
        <fgColor rgb="FFB7CE66"/>
        <bgColor indexed="64"/>
      </patternFill>
    </fill>
    <fill>
      <patternFill patternType="solid">
        <fgColor rgb="FFC8D6A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7919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A3C66"/>
        <bgColor indexed="64"/>
      </patternFill>
    </fill>
    <fill>
      <patternFill patternType="solid">
        <fgColor rgb="FFFFBF66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E277E"/>
        <bgColor indexed="64"/>
      </patternFill>
    </fill>
    <fill>
      <patternFill patternType="solid">
        <fgColor rgb="FFFCFE19"/>
        <bgColor indexed="64"/>
      </patternFill>
    </fill>
    <fill>
      <patternFill patternType="solid">
        <fgColor rgb="FF47EAD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rgb="FFB1A09B"/>
      </bottom>
      <diagonal/>
    </border>
    <border>
      <left/>
      <right/>
      <top/>
      <bottom style="thick">
        <color rgb="FF47EAD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4">
    <xf numFmtId="0" fontId="0" fillId="0" borderId="0" xfId="0"/>
    <xf numFmtId="14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6" fillId="6" borderId="0" xfId="0" applyFont="1" applyFill="1"/>
    <xf numFmtId="0" fontId="6" fillId="7" borderId="0" xfId="0" applyFont="1" applyFill="1"/>
    <xf numFmtId="0" fontId="0" fillId="3" borderId="0" xfId="0" applyFill="1"/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9" borderId="0" xfId="0" applyFill="1"/>
    <xf numFmtId="0" fontId="8" fillId="0" borderId="2" xfId="0" applyFont="1" applyBorder="1"/>
    <xf numFmtId="0" fontId="8" fillId="0" borderId="1" xfId="0" applyFont="1" applyBorder="1"/>
    <xf numFmtId="0" fontId="8" fillId="0" borderId="3" xfId="0" applyFont="1" applyBorder="1"/>
    <xf numFmtId="0" fontId="8" fillId="0" borderId="5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4" fillId="8" borderId="4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0" fillId="10" borderId="0" xfId="0" applyFill="1"/>
    <xf numFmtId="0" fontId="9" fillId="11" borderId="0" xfId="0" applyFont="1" applyFill="1"/>
    <xf numFmtId="0" fontId="2" fillId="10" borderId="0" xfId="1" applyFill="1"/>
    <xf numFmtId="0" fontId="0" fillId="12" borderId="0" xfId="0" applyFill="1"/>
    <xf numFmtId="0" fontId="6" fillId="13" borderId="0" xfId="0" applyFont="1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8" borderId="0" xfId="0" applyFill="1"/>
    <xf numFmtId="0" fontId="13" fillId="17" borderId="1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7" borderId="1" xfId="0" applyFill="1" applyBorder="1"/>
    <xf numFmtId="0" fontId="0" fillId="18" borderId="1" xfId="0" applyFill="1" applyBorder="1"/>
    <xf numFmtId="0" fontId="0" fillId="19" borderId="0" xfId="0" applyFill="1"/>
    <xf numFmtId="0" fontId="0" fillId="7" borderId="0" xfId="0" applyFill="1"/>
    <xf numFmtId="0" fontId="0" fillId="7" borderId="0" xfId="0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0" fillId="20" borderId="0" xfId="0" applyFill="1" applyAlignment="1">
      <alignment horizontal="center"/>
    </xf>
    <xf numFmtId="0" fontId="5" fillId="21" borderId="0" xfId="0" applyFont="1" applyFill="1" applyAlignment="1">
      <alignment horizontal="center" vertical="center"/>
    </xf>
    <xf numFmtId="0" fontId="3" fillId="22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/>
    </xf>
    <xf numFmtId="0" fontId="3" fillId="18" borderId="0" xfId="0" applyFont="1" applyFill="1" applyAlignment="1">
      <alignment horizontal="center"/>
    </xf>
    <xf numFmtId="0" fontId="1" fillId="23" borderId="0" xfId="0" applyFont="1" applyFill="1" applyAlignment="1">
      <alignment horizontal="center"/>
    </xf>
    <xf numFmtId="0" fontId="1" fillId="24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25" borderId="0" xfId="0" applyFill="1" applyAlignment="1">
      <alignment horizontal="center"/>
    </xf>
    <xf numFmtId="0" fontId="3" fillId="20" borderId="0" xfId="0" applyFont="1" applyFill="1" applyAlignment="1">
      <alignment horizontal="center"/>
    </xf>
    <xf numFmtId="0" fontId="3" fillId="26" borderId="0" xfId="0" applyFont="1" applyFill="1" applyAlignment="1">
      <alignment horizontal="center"/>
    </xf>
    <xf numFmtId="0" fontId="4" fillId="0" borderId="1" xfId="0" applyFont="1" applyBorder="1" applyAlignment="1">
      <alignment horizontal="left"/>
    </xf>
    <xf numFmtId="0" fontId="1" fillId="27" borderId="0" xfId="0" applyFont="1" applyFill="1" applyAlignment="1">
      <alignment horizontal="center"/>
    </xf>
    <xf numFmtId="0" fontId="1" fillId="3" borderId="1" xfId="0" applyFont="1" applyFill="1" applyBorder="1" applyAlignment="1">
      <alignment horizontal="left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27" borderId="1" xfId="0" applyFill="1" applyBorder="1" applyAlignment="1">
      <alignment horizontal="center" vertical="center"/>
    </xf>
    <xf numFmtId="0" fontId="0" fillId="27" borderId="1" xfId="0" applyFill="1" applyBorder="1"/>
    <xf numFmtId="0" fontId="0" fillId="27" borderId="0" xfId="0" applyFill="1"/>
    <xf numFmtId="0" fontId="0" fillId="27" borderId="0" xfId="0" applyFill="1" applyAlignment="1">
      <alignment horizontal="center"/>
    </xf>
    <xf numFmtId="0" fontId="6" fillId="27" borderId="0" xfId="0" applyFont="1" applyFill="1"/>
    <xf numFmtId="0" fontId="3" fillId="2" borderId="0" xfId="0" applyFont="1" applyFill="1" applyAlignment="1">
      <alignment horizontal="center"/>
    </xf>
    <xf numFmtId="0" fontId="3" fillId="28" borderId="0" xfId="0" applyFont="1" applyFill="1" applyAlignment="1">
      <alignment horizontal="center"/>
    </xf>
    <xf numFmtId="0" fontId="3" fillId="29" borderId="0" xfId="0" applyFont="1" applyFill="1" applyAlignment="1">
      <alignment horizontal="center"/>
    </xf>
    <xf numFmtId="0" fontId="3" fillId="30" borderId="0" xfId="0" applyFont="1" applyFill="1" applyAlignment="1">
      <alignment horizontal="center"/>
    </xf>
    <xf numFmtId="0" fontId="12" fillId="0" borderId="0" xfId="0" applyFont="1" applyAlignment="1"/>
    <xf numFmtId="0" fontId="0" fillId="0" borderId="0" xfId="0" applyAlignment="1">
      <alignment horizontal="center"/>
    </xf>
    <xf numFmtId="0" fontId="9" fillId="11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31" borderId="0" xfId="0" applyFill="1"/>
    <xf numFmtId="0" fontId="1" fillId="31" borderId="4" xfId="0" applyFont="1" applyFill="1" applyBorder="1" applyAlignment="1">
      <alignment horizontal="center" vertical="center"/>
    </xf>
    <xf numFmtId="0" fontId="1" fillId="31" borderId="5" xfId="0" applyFont="1" applyFill="1" applyBorder="1" applyAlignment="1">
      <alignment horizontal="center" vertical="center"/>
    </xf>
    <xf numFmtId="0" fontId="1" fillId="31" borderId="6" xfId="0" applyFont="1" applyFill="1" applyBorder="1" applyAlignment="1">
      <alignment horizontal="center" vertical="center"/>
    </xf>
    <xf numFmtId="49" fontId="8" fillId="0" borderId="1" xfId="0" applyNumberFormat="1" applyFont="1" applyBorder="1"/>
    <xf numFmtId="14" fontId="8" fillId="0" borderId="1" xfId="0" applyNumberFormat="1" applyFont="1" applyBorder="1"/>
    <xf numFmtId="0" fontId="8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49" fontId="0" fillId="30" borderId="0" xfId="0" applyNumberFormat="1" applyFill="1"/>
    <xf numFmtId="0" fontId="0" fillId="30" borderId="0" xfId="0" applyFill="1" applyAlignment="1">
      <alignment horizontal="left"/>
    </xf>
    <xf numFmtId="49" fontId="0" fillId="30" borderId="0" xfId="0" applyNumberFormat="1" applyFill="1" applyAlignment="1">
      <alignment horizontal="left"/>
    </xf>
    <xf numFmtId="0" fontId="0" fillId="30" borderId="0" xfId="0" applyFill="1"/>
    <xf numFmtId="0" fontId="14" fillId="0" borderId="8" xfId="0" applyFont="1" applyBorder="1"/>
    <xf numFmtId="0" fontId="14" fillId="0" borderId="7" xfId="0" applyFont="1" applyBorder="1"/>
    <xf numFmtId="0" fontId="14" fillId="0" borderId="9" xfId="0" applyFont="1" applyBorder="1"/>
    <xf numFmtId="0" fontId="14" fillId="30" borderId="8" xfId="0" applyFont="1" applyFill="1" applyBorder="1"/>
    <xf numFmtId="0" fontId="8" fillId="31" borderId="2" xfId="0" applyFont="1" applyFill="1" applyBorder="1"/>
    <xf numFmtId="0" fontId="8" fillId="31" borderId="1" xfId="0" applyFont="1" applyFill="1" applyBorder="1" applyAlignment="1">
      <alignment horizontal="center"/>
    </xf>
    <xf numFmtId="0" fontId="8" fillId="31" borderId="1" xfId="0" applyFont="1" applyFill="1" applyBorder="1"/>
    <xf numFmtId="49" fontId="8" fillId="31" borderId="1" xfId="0" applyNumberFormat="1" applyFont="1" applyFill="1" applyBorder="1"/>
    <xf numFmtId="14" fontId="8" fillId="31" borderId="1" xfId="0" applyNumberFormat="1" applyFont="1" applyFill="1" applyBorder="1"/>
    <xf numFmtId="0" fontId="8" fillId="31" borderId="3" xfId="0" applyFont="1" applyFill="1" applyBorder="1"/>
    <xf numFmtId="0" fontId="8" fillId="31" borderId="5" xfId="0" applyFont="1" applyFill="1" applyBorder="1"/>
    <xf numFmtId="0" fontId="7" fillId="0" borderId="0" xfId="0" applyFont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</cellXfs>
  <cellStyles count="2">
    <cellStyle name="Lien hypertexte" xfId="1" builtinId="8"/>
    <cellStyle name="Normal" xfId="0" builtinId="0"/>
  </cellStyles>
  <dxfs count="116">
    <dxf>
      <fill>
        <patternFill patternType="solid">
          <fgColor indexed="64"/>
          <bgColor rgb="FFF79191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4" tint="0.39997558519241921"/>
        </patternFill>
      </fill>
    </dxf>
    <dxf>
      <numFmt numFmtId="19" formatCode="dd/mm/yyyy"/>
    </dxf>
    <dxf>
      <fill>
        <patternFill patternType="solid">
          <fgColor indexed="64"/>
          <bgColor rgb="FFF79191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4" tint="0.39997558519241921"/>
        </patternFill>
      </fill>
    </dxf>
    <dxf>
      <numFmt numFmtId="19" formatCode="dd/mm/yyyy"/>
    </dxf>
    <dxf>
      <fill>
        <patternFill patternType="solid">
          <fgColor indexed="64"/>
          <bgColor rgb="FFF79191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4" tint="0.39997558519241921"/>
        </patternFill>
      </fill>
    </dxf>
    <dxf>
      <numFmt numFmtId="19" formatCode="dd/mm/yyyy"/>
    </dxf>
    <dxf>
      <fill>
        <patternFill patternType="solid">
          <fgColor indexed="64"/>
          <bgColor rgb="FFF79191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4" tint="0.39997558519241921"/>
        </patternFill>
      </fill>
    </dxf>
    <dxf>
      <numFmt numFmtId="19" formatCode="dd/mm/yyyy"/>
    </dxf>
    <dxf>
      <fill>
        <patternFill patternType="solid">
          <fgColor indexed="64"/>
          <bgColor rgb="FFF79191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4" tint="0.59999389629810485"/>
        </patternFill>
      </fill>
    </dxf>
    <dxf>
      <numFmt numFmtId="19" formatCode="dd/mm/yyyy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79191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4" tint="0.39997558519241921"/>
        </patternFill>
      </fill>
    </dxf>
    <dxf>
      <numFmt numFmtId="19" formatCode="dd/mm/yyyy"/>
    </dxf>
    <dxf>
      <numFmt numFmtId="19" formatCode="dd/mm/yyyy"/>
    </dxf>
    <dxf>
      <fill>
        <patternFill patternType="solid">
          <fgColor indexed="64"/>
          <bgColor rgb="FFF79191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4" tint="0.39997558519241921"/>
        </patternFill>
      </fill>
    </dxf>
    <dxf>
      <numFmt numFmtId="19" formatCode="dd/mm/yyyy"/>
    </dxf>
    <dxf>
      <numFmt numFmtId="19" formatCode="dd/mm/yyyy"/>
    </dxf>
    <dxf>
      <numFmt numFmtId="19" formatCode="dd/mm/yyyy"/>
    </dxf>
    <dxf>
      <fill>
        <patternFill patternType="solid">
          <fgColor indexed="64"/>
          <bgColor rgb="FFF79191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4" tint="0.39997558519241921"/>
        </patternFill>
      </fill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E997E3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theme="9"/>
        </patternFill>
      </fill>
    </dxf>
    <dxf>
      <fill>
        <patternFill patternType="solid">
          <fgColor indexed="64"/>
          <bgColor theme="4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4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47EAD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rgb="FFC4FDF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thin">
          <color auto="1"/>
        </bottom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1 2" pivot="0" table="0" count="10">
      <tableStyleElement type="wholeTable" dxfId="115"/>
      <tableStyleElement type="headerRow" dxfId="114"/>
    </tableStyle>
    <tableStyle name="Style de tableau 1" pivot="0" count="1">
      <tableStyleElement type="wholeTable" dxfId="113"/>
    </tableStyle>
  </tableStyles>
  <colors>
    <mruColors>
      <color rgb="FF47EAD0"/>
      <color rgb="FFFCFE19"/>
      <color rgb="FFFE277E"/>
      <color rgb="FFF79191"/>
      <color rgb="FFA162D0"/>
      <color rgb="FFFF66FF"/>
      <color rgb="FF8FB43A"/>
      <color rgb="FFCA3C66"/>
      <color rgb="FFFFCC99"/>
      <color rgb="FFDCDFDA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microsoft.com/office/2007/relationships/slicerCache" Target="slicerCaches/slicerCache7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microsoft.com/office/2007/relationships/slicerCache" Target="slicerCaches/slicerCache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totale/eq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C4-46D4-AEAF-4204557391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DB86-4B70-A12B-51427E112F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B86-4B70-A12B-51427E112F5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Acceuil!$F$5:$F$7</c:f>
              <c:numCache>
                <c:formatCode>General</c:formatCode>
                <c:ptCount val="3"/>
                <c:pt idx="0">
                  <c:v>27</c:v>
                </c:pt>
                <c:pt idx="1">
                  <c:v>17</c:v>
                </c:pt>
                <c:pt idx="2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B86-4B70-A12B-51427E112F5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Acceuil!$L$5</c:f>
              <c:strCache>
                <c:ptCount val="1"/>
                <c:pt idx="0">
                  <c:v>info</c:v>
                </c:pt>
              </c:strCache>
            </c:strRef>
          </c:tx>
          <c:spPr>
            <a:solidFill>
              <a:srgbClr val="CA3C6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Acceuil!$M$4:$O$4</c:f>
              <c:strCache>
                <c:ptCount val="3"/>
                <c:pt idx="0">
                  <c:v>rec</c:v>
                </c:pt>
                <c:pt idx="1">
                  <c:v>rep</c:v>
                </c:pt>
                <c:pt idx="2">
                  <c:v>nrp</c:v>
                </c:pt>
              </c:strCache>
            </c:strRef>
          </c:cat>
          <c:val>
            <c:numRef>
              <c:f>Acceuil!$M$5:$O$5</c:f>
              <c:numCache>
                <c:formatCode>General</c:formatCode>
                <c:ptCount val="3"/>
                <c:pt idx="0">
                  <c:v>5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70D-4600-BFC6-A8DE24CDD4EC}"/>
            </c:ext>
          </c:extLst>
        </c:ser>
        <c:ser>
          <c:idx val="1"/>
          <c:order val="1"/>
          <c:tx>
            <c:strRef>
              <c:f>Acceuil!$L$6</c:f>
              <c:strCache>
                <c:ptCount val="1"/>
                <c:pt idx="0">
                  <c:v>topo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Acceuil!$M$4:$O$4</c:f>
              <c:strCache>
                <c:ptCount val="3"/>
                <c:pt idx="0">
                  <c:v>rec</c:v>
                </c:pt>
                <c:pt idx="1">
                  <c:v>rep</c:v>
                </c:pt>
                <c:pt idx="2">
                  <c:v>nrp</c:v>
                </c:pt>
              </c:strCache>
            </c:strRef>
          </c:cat>
          <c:val>
            <c:numRef>
              <c:f>Acceuil!$M$6:$O$6</c:f>
              <c:numCache>
                <c:formatCode>General</c:formatCode>
                <c:ptCount val="3"/>
                <c:pt idx="0">
                  <c:v>13</c:v>
                </c:pt>
                <c:pt idx="1">
                  <c:v>8</c:v>
                </c:pt>
                <c:pt idx="2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70D-4600-BFC6-A8DE24CDD4EC}"/>
            </c:ext>
          </c:extLst>
        </c:ser>
        <c:ser>
          <c:idx val="2"/>
          <c:order val="2"/>
          <c:tx>
            <c:strRef>
              <c:f>Acceuil!$L$7</c:f>
              <c:strCache>
                <c:ptCount val="1"/>
                <c:pt idx="0">
                  <c:v>dida</c:v>
                </c:pt>
              </c:strCache>
            </c:strRef>
          </c:tx>
          <c:spPr>
            <a:solidFill>
              <a:srgbClr val="8FB43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Acceuil!$M$4:$O$4</c:f>
              <c:strCache>
                <c:ptCount val="3"/>
                <c:pt idx="0">
                  <c:v>rec</c:v>
                </c:pt>
                <c:pt idx="1">
                  <c:v>rep</c:v>
                </c:pt>
                <c:pt idx="2">
                  <c:v>nrp</c:v>
                </c:pt>
              </c:strCache>
            </c:strRef>
          </c:cat>
          <c:val>
            <c:numRef>
              <c:f>Acceuil!$M$7:$O$7</c:f>
              <c:numCache>
                <c:formatCode>General</c:formatCode>
                <c:ptCount val="3"/>
                <c:pt idx="0">
                  <c:v>9</c:v>
                </c:pt>
                <c:pt idx="1">
                  <c:v>9</c:v>
                </c:pt>
                <c:pt idx="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70D-4600-BFC6-A8DE24CDD4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69770296"/>
        <c:axId val="469770688"/>
        <c:axId val="0"/>
      </c:bar3DChart>
      <c:catAx>
        <c:axId val="469770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9770688"/>
        <c:crosses val="autoZero"/>
        <c:auto val="1"/>
        <c:lblAlgn val="ctr"/>
        <c:lblOffset val="100"/>
        <c:noMultiLvlLbl val="0"/>
      </c:catAx>
      <c:valAx>
        <c:axId val="46977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9770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eq/informatique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Acceuil!$L$5</c:f>
              <c:strCache>
                <c:ptCount val="1"/>
                <c:pt idx="0">
                  <c:v>info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47B-4BF1-BB1F-B767D3DFB4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47B-4BF1-BB1F-B767D3DFB4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47B-4BF1-BB1F-B767D3DFB4F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Acceuil!$M$4:$O$4</c:f>
              <c:strCache>
                <c:ptCount val="3"/>
                <c:pt idx="0">
                  <c:v>rec</c:v>
                </c:pt>
                <c:pt idx="1">
                  <c:v>rep</c:v>
                </c:pt>
                <c:pt idx="2">
                  <c:v>nrp</c:v>
                </c:pt>
              </c:strCache>
            </c:strRef>
          </c:cat>
          <c:val>
            <c:numRef>
              <c:f>Acceuil!$M$5:$O$5</c:f>
              <c:numCache>
                <c:formatCode>General</c:formatCode>
                <c:ptCount val="3"/>
                <c:pt idx="0">
                  <c:v>5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D3B-485F-82D7-956A7A61AA5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690632128927803"/>
          <c:y val="0.3937519862388329"/>
          <c:w val="0.17748620207520788"/>
          <c:h val="0.4054083707040491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eq-topographie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Acceuil!$L$6</c:f>
              <c:strCache>
                <c:ptCount val="1"/>
                <c:pt idx="0">
                  <c:v>topo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AA3-4F40-B161-4739222B9C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AA3-4F40-B161-4739222B9C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AA3-4F40-B161-4739222B9C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Acceuil!$M$6:$O$6</c:f>
              <c:numCache>
                <c:formatCode>General</c:formatCode>
                <c:ptCount val="3"/>
                <c:pt idx="0">
                  <c:v>13</c:v>
                </c:pt>
                <c:pt idx="1">
                  <c:v>8</c:v>
                </c:pt>
                <c:pt idx="2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A85-40AD-835C-B2ED199EEB2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589577702993145"/>
          <c:y val="0.38676532903266608"/>
          <c:w val="0.13529541408302762"/>
          <c:h val="0.4066293520538848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eq-didactique</a:t>
            </a:r>
          </a:p>
        </c:rich>
      </c:tx>
      <c:layout>
        <c:manualLayout>
          <c:xMode val="edge"/>
          <c:yMode val="edge"/>
          <c:x val="0.21108927292133303"/>
          <c:y val="4.86322343639707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Acceuil!$L$7</c:f>
              <c:strCache>
                <c:ptCount val="1"/>
                <c:pt idx="0">
                  <c:v>dida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E67-47A6-9EF2-E08AF3A1C9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E67-47A6-9EF2-E08AF3A1C9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E67-47A6-9EF2-E08AF3A1C9D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Acceuil!$M$7:$O$7</c:f>
              <c:numCache>
                <c:formatCode>General</c:formatCode>
                <c:ptCount val="3"/>
                <c:pt idx="0">
                  <c:v>9</c:v>
                </c:pt>
                <c:pt idx="1">
                  <c:v>9</c:v>
                </c:pt>
                <c:pt idx="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063-4B80-BF02-243EBCE8370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Acceuil!$G$25</c:f>
              <c:strCache>
                <c:ptCount val="1"/>
                <c:pt idx="0">
                  <c:v>rec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Acceuil!$F$26:$F$30</c:f>
              <c:strCache>
                <c:ptCount val="5"/>
                <c:pt idx="0">
                  <c:v>ep</c:v>
                </c:pt>
                <c:pt idx="1">
                  <c:v>cem</c:v>
                </c:pt>
                <c:pt idx="2">
                  <c:v>lyc</c:v>
                </c:pt>
                <c:pt idx="3">
                  <c:v> D-ed</c:v>
                </c:pt>
                <c:pt idx="4">
                  <c:v>totale</c:v>
                </c:pt>
              </c:strCache>
            </c:strRef>
          </c:cat>
          <c:val>
            <c:numRef>
              <c:f>Acceuil!$G$26:$G$30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13</c:v>
                </c:pt>
                <c:pt idx="3">
                  <c:v>6</c:v>
                </c:pt>
                <c:pt idx="4">
                  <c:v>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DF-488B-AB2A-10E4783A4031}"/>
            </c:ext>
          </c:extLst>
        </c:ser>
        <c:ser>
          <c:idx val="1"/>
          <c:order val="1"/>
          <c:tx>
            <c:strRef>
              <c:f>Acceuil!$H$25</c:f>
              <c:strCache>
                <c:ptCount val="1"/>
                <c:pt idx="0">
                  <c:v>rep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Acceuil!$F$26:$F$30</c:f>
              <c:strCache>
                <c:ptCount val="5"/>
                <c:pt idx="0">
                  <c:v>ep</c:v>
                </c:pt>
                <c:pt idx="1">
                  <c:v>cem</c:v>
                </c:pt>
                <c:pt idx="2">
                  <c:v>lyc</c:v>
                </c:pt>
                <c:pt idx="3">
                  <c:v> D-ed</c:v>
                </c:pt>
                <c:pt idx="4">
                  <c:v>totale</c:v>
                </c:pt>
              </c:strCache>
            </c:strRef>
          </c:cat>
          <c:val>
            <c:numRef>
              <c:f>Acceuil!$H$26:$H$30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9</c:v>
                </c:pt>
                <c:pt idx="3">
                  <c:v>4</c:v>
                </c:pt>
                <c:pt idx="4">
                  <c:v>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3DF-488B-AB2A-10E4783A4031}"/>
            </c:ext>
          </c:extLst>
        </c:ser>
        <c:ser>
          <c:idx val="2"/>
          <c:order val="2"/>
          <c:tx>
            <c:strRef>
              <c:f>Acceuil!$I$25</c:f>
              <c:strCache>
                <c:ptCount val="1"/>
                <c:pt idx="0">
                  <c:v>n-rep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Acceuil!$F$26:$F$30</c:f>
              <c:strCache>
                <c:ptCount val="5"/>
                <c:pt idx="0">
                  <c:v>ep</c:v>
                </c:pt>
                <c:pt idx="1">
                  <c:v>cem</c:v>
                </c:pt>
                <c:pt idx="2">
                  <c:v>lyc</c:v>
                </c:pt>
                <c:pt idx="3">
                  <c:v> D-ed</c:v>
                </c:pt>
                <c:pt idx="4">
                  <c:v>totale</c:v>
                </c:pt>
              </c:strCache>
            </c:strRef>
          </c:cat>
          <c:val>
            <c:numRef>
              <c:f>Acceuil!$I$26:$I$30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3DF-488B-AB2A-10E4783A40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469776176"/>
        <c:axId val="469772256"/>
        <c:axId val="0"/>
      </c:bar3DChart>
      <c:catAx>
        <c:axId val="469776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9772256"/>
        <c:crosses val="autoZero"/>
        <c:auto val="1"/>
        <c:lblAlgn val="ctr"/>
        <c:lblOffset val="100"/>
        <c:noMultiLvlLbl val="0"/>
      </c:catAx>
      <c:valAx>
        <c:axId val="4697722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6977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1998630842692091"/>
          <c:y val="2.4059354785376241E-2"/>
          <c:w val="0.276163678601204"/>
          <c:h val="0.133929508811398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hyperlink" Target="#Topograpique!A1"/><Relationship Id="rId7" Type="http://schemas.openxmlformats.org/officeDocument/2006/relationships/chart" Target="../charts/chart2.xml"/><Relationship Id="rId12" Type="http://schemas.openxmlformats.org/officeDocument/2006/relationships/hyperlink" Target="#'intervention enie'!A1"/><Relationship Id="rId2" Type="http://schemas.openxmlformats.org/officeDocument/2006/relationships/hyperlink" Target="#'Liste de donnees'!A1"/><Relationship Id="rId1" Type="http://schemas.openxmlformats.org/officeDocument/2006/relationships/hyperlink" Target="#Acceuil!A1"/><Relationship Id="rId6" Type="http://schemas.openxmlformats.org/officeDocument/2006/relationships/chart" Target="../charts/chart1.xml"/><Relationship Id="rId11" Type="http://schemas.openxmlformats.org/officeDocument/2006/relationships/chart" Target="../charts/chart6.xml"/><Relationship Id="rId5" Type="http://schemas.openxmlformats.org/officeDocument/2006/relationships/hyperlink" Target="#Informatique!A1"/><Relationship Id="rId10" Type="http://schemas.openxmlformats.org/officeDocument/2006/relationships/chart" Target="../charts/chart5.xml"/><Relationship Id="rId4" Type="http://schemas.openxmlformats.org/officeDocument/2006/relationships/hyperlink" Target="#Didactique!A1"/><Relationship Id="rId9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atique!A1"/><Relationship Id="rId2" Type="http://schemas.openxmlformats.org/officeDocument/2006/relationships/hyperlink" Target="#'Liste de donnees'!A1"/><Relationship Id="rId1" Type="http://schemas.openxmlformats.org/officeDocument/2006/relationships/hyperlink" Target="#Acceuil!A1"/><Relationship Id="rId6" Type="http://schemas.openxmlformats.org/officeDocument/2006/relationships/hyperlink" Target="#'intervention enie'!A1"/><Relationship Id="rId5" Type="http://schemas.openxmlformats.org/officeDocument/2006/relationships/hyperlink" Target="#Didactique!A1"/><Relationship Id="rId4" Type="http://schemas.openxmlformats.org/officeDocument/2006/relationships/hyperlink" Target="#Topograpiqu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atique!A1"/><Relationship Id="rId2" Type="http://schemas.openxmlformats.org/officeDocument/2006/relationships/hyperlink" Target="#'Liste de donnees'!A1"/><Relationship Id="rId1" Type="http://schemas.openxmlformats.org/officeDocument/2006/relationships/hyperlink" Target="#Acceuil!A1"/><Relationship Id="rId6" Type="http://schemas.openxmlformats.org/officeDocument/2006/relationships/hyperlink" Target="#'intervention enie'!A1"/><Relationship Id="rId5" Type="http://schemas.openxmlformats.org/officeDocument/2006/relationships/hyperlink" Target="#Didactique!A1"/><Relationship Id="rId4" Type="http://schemas.openxmlformats.org/officeDocument/2006/relationships/hyperlink" Target="#Topograpiqu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formatique!A1"/><Relationship Id="rId2" Type="http://schemas.openxmlformats.org/officeDocument/2006/relationships/hyperlink" Target="#'Liste de donnees'!A1"/><Relationship Id="rId1" Type="http://schemas.openxmlformats.org/officeDocument/2006/relationships/hyperlink" Target="#Acceuil!A1"/><Relationship Id="rId6" Type="http://schemas.openxmlformats.org/officeDocument/2006/relationships/hyperlink" Target="#'intervention enie'!A1"/><Relationship Id="rId5" Type="http://schemas.openxmlformats.org/officeDocument/2006/relationships/hyperlink" Target="#Didactique!A1"/><Relationship Id="rId4" Type="http://schemas.openxmlformats.org/officeDocument/2006/relationships/hyperlink" Target="#Topograpiqu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Informatique!A1"/><Relationship Id="rId2" Type="http://schemas.openxmlformats.org/officeDocument/2006/relationships/hyperlink" Target="#'Liste de donnees'!A1"/><Relationship Id="rId1" Type="http://schemas.openxmlformats.org/officeDocument/2006/relationships/hyperlink" Target="#Acceuil!A1"/><Relationship Id="rId6" Type="http://schemas.openxmlformats.org/officeDocument/2006/relationships/hyperlink" Target="#'intervention enie'!A1"/><Relationship Id="rId5" Type="http://schemas.openxmlformats.org/officeDocument/2006/relationships/hyperlink" Target="#Didactique!A1"/><Relationship Id="rId4" Type="http://schemas.openxmlformats.org/officeDocument/2006/relationships/hyperlink" Target="#Topograpique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Informatique!A1"/><Relationship Id="rId2" Type="http://schemas.openxmlformats.org/officeDocument/2006/relationships/hyperlink" Target="#'Liste de donnees'!A1"/><Relationship Id="rId1" Type="http://schemas.openxmlformats.org/officeDocument/2006/relationships/hyperlink" Target="#Acceuil!A1"/><Relationship Id="rId6" Type="http://schemas.openxmlformats.org/officeDocument/2006/relationships/hyperlink" Target="#'intervention enie'!A1"/><Relationship Id="rId5" Type="http://schemas.openxmlformats.org/officeDocument/2006/relationships/hyperlink" Target="#Didactique!A1"/><Relationship Id="rId4" Type="http://schemas.openxmlformats.org/officeDocument/2006/relationships/hyperlink" Target="#Topograpiq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57150</xdr:rowOff>
    </xdr:from>
    <xdr:to>
      <xdr:col>3</xdr:col>
      <xdr:colOff>104775</xdr:colOff>
      <xdr:row>2</xdr:row>
      <xdr:rowOff>66675</xdr:rowOff>
    </xdr:to>
    <xdr:sp macro="" textlink="">
      <xdr:nvSpPr>
        <xdr:cNvPr id="17" name="Rectangle : coins arrondi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10C4ADA-4949-4B55-82F5-B34210F5B965}"/>
            </a:ext>
          </a:extLst>
        </xdr:cNvPr>
        <xdr:cNvSpPr/>
      </xdr:nvSpPr>
      <xdr:spPr>
        <a:xfrm>
          <a:off x="9526" y="57150"/>
          <a:ext cx="1609724" cy="447675"/>
        </a:xfrm>
        <a:prstGeom prst="roundRect">
          <a:avLst/>
        </a:prstGeom>
        <a:solidFill>
          <a:srgbClr val="F5DF4D"/>
        </a:solidFill>
        <a:ln>
          <a:solidFill>
            <a:srgbClr val="F5DF4D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chemeClr val="bg1"/>
              </a:solidFill>
              <a:latin typeface="+mn-lt"/>
              <a:ea typeface="+mn-ea"/>
              <a:cs typeface="+mn-cs"/>
            </a:rPr>
            <a:t>Acceuil</a:t>
          </a:r>
        </a:p>
      </xdr:txBody>
    </xdr:sp>
    <xdr:clientData/>
  </xdr:twoCellAnchor>
  <xdr:twoCellAnchor>
    <xdr:from>
      <xdr:col>0</xdr:col>
      <xdr:colOff>9525</xdr:colOff>
      <xdr:row>3</xdr:row>
      <xdr:rowOff>76200</xdr:rowOff>
    </xdr:from>
    <xdr:to>
      <xdr:col>3</xdr:col>
      <xdr:colOff>161925</xdr:colOff>
      <xdr:row>5</xdr:row>
      <xdr:rowOff>114300</xdr:rowOff>
    </xdr:to>
    <xdr:sp macro="" textlink="">
      <xdr:nvSpPr>
        <xdr:cNvPr id="18" name="Rectangle : coins arrondis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1F61D1B7-CA99-4D9A-A298-D3B5EA4DAFA8}"/>
            </a:ext>
          </a:extLst>
        </xdr:cNvPr>
        <xdr:cNvSpPr/>
      </xdr:nvSpPr>
      <xdr:spPr>
        <a:xfrm>
          <a:off x="9525" y="704850"/>
          <a:ext cx="1666875" cy="476250"/>
        </a:xfrm>
        <a:prstGeom prst="roundRect">
          <a:avLst/>
        </a:prstGeom>
        <a:solidFill>
          <a:srgbClr val="B1A09B"/>
        </a:solidFill>
        <a:ln>
          <a:solidFill>
            <a:srgbClr val="B1A09B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Liste de donnees</a:t>
          </a:r>
        </a:p>
      </xdr:txBody>
    </xdr:sp>
    <xdr:clientData/>
  </xdr:twoCellAnchor>
  <xdr:twoCellAnchor>
    <xdr:from>
      <xdr:col>0</xdr:col>
      <xdr:colOff>1</xdr:colOff>
      <xdr:row>8</xdr:row>
      <xdr:rowOff>95250</xdr:rowOff>
    </xdr:from>
    <xdr:to>
      <xdr:col>3</xdr:col>
      <xdr:colOff>171451</xdr:colOff>
      <xdr:row>10</xdr:row>
      <xdr:rowOff>142875</xdr:rowOff>
    </xdr:to>
    <xdr:sp macro="" textlink="">
      <xdr:nvSpPr>
        <xdr:cNvPr id="20" name="Rectangle : coins arrondis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BD3D823-75C6-4CD9-AC2B-FD64ACF485C2}"/>
            </a:ext>
          </a:extLst>
        </xdr:cNvPr>
        <xdr:cNvSpPr/>
      </xdr:nvSpPr>
      <xdr:spPr>
        <a:xfrm>
          <a:off x="1" y="1828800"/>
          <a:ext cx="1466850" cy="428625"/>
        </a:xfrm>
        <a:prstGeom prst="roundRect">
          <a:avLst/>
        </a:prstGeom>
        <a:solidFill>
          <a:srgbClr val="FFBF66"/>
        </a:solidFill>
        <a:ln>
          <a:solidFill>
            <a:srgbClr val="FFBF66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4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Topographie</a:t>
          </a:r>
          <a:endParaRPr lang="fr-FR" sz="18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</xdr:colOff>
      <xdr:row>11</xdr:row>
      <xdr:rowOff>19050</xdr:rowOff>
    </xdr:from>
    <xdr:to>
      <xdr:col>3</xdr:col>
      <xdr:colOff>190500</xdr:colOff>
      <xdr:row>13</xdr:row>
      <xdr:rowOff>57150</xdr:rowOff>
    </xdr:to>
    <xdr:sp macro="" textlink="">
      <xdr:nvSpPr>
        <xdr:cNvPr id="21" name="Rectangle : coins arrondis 2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5DA0900C-976D-40CE-A3C6-DB60F1F70C9F}"/>
            </a:ext>
          </a:extLst>
        </xdr:cNvPr>
        <xdr:cNvSpPr/>
      </xdr:nvSpPr>
      <xdr:spPr>
        <a:xfrm>
          <a:off x="1" y="2324100"/>
          <a:ext cx="1485899" cy="419100"/>
        </a:xfrm>
        <a:prstGeom prst="roundRect">
          <a:avLst/>
        </a:prstGeom>
        <a:solidFill>
          <a:srgbClr val="8FB43A"/>
        </a:solidFill>
        <a:ln>
          <a:solidFill>
            <a:srgbClr val="8FB43A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4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Didactique</a:t>
          </a:r>
        </a:p>
      </xdr:txBody>
    </xdr:sp>
    <xdr:clientData/>
  </xdr:twoCellAnchor>
  <xdr:twoCellAnchor>
    <xdr:from>
      <xdr:col>0</xdr:col>
      <xdr:colOff>19051</xdr:colOff>
      <xdr:row>6</xdr:row>
      <xdr:rowOff>0</xdr:rowOff>
    </xdr:from>
    <xdr:to>
      <xdr:col>3</xdr:col>
      <xdr:colOff>171450</xdr:colOff>
      <xdr:row>8</xdr:row>
      <xdr:rowOff>38100</xdr:rowOff>
    </xdr:to>
    <xdr:sp macro="" textlink="">
      <xdr:nvSpPr>
        <xdr:cNvPr id="19" name="Rectangle : coins arrondis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9F2E4998-26B4-4C62-8E2B-E5C000EF5F66}"/>
            </a:ext>
          </a:extLst>
        </xdr:cNvPr>
        <xdr:cNvSpPr/>
      </xdr:nvSpPr>
      <xdr:spPr>
        <a:xfrm>
          <a:off x="19051" y="1304925"/>
          <a:ext cx="1447799" cy="466725"/>
        </a:xfrm>
        <a:prstGeom prst="roundRect">
          <a:avLst/>
        </a:prstGeom>
        <a:solidFill>
          <a:srgbClr val="CA3C66"/>
        </a:solidFill>
        <a:ln>
          <a:solidFill>
            <a:srgbClr val="CA3C66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4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Informatique</a:t>
          </a:r>
        </a:p>
      </xdr:txBody>
    </xdr:sp>
    <xdr:clientData/>
  </xdr:twoCellAnchor>
  <xdr:twoCellAnchor>
    <xdr:from>
      <xdr:col>5</xdr:col>
      <xdr:colOff>328613</xdr:colOff>
      <xdr:row>0</xdr:row>
      <xdr:rowOff>28575</xdr:rowOff>
    </xdr:from>
    <xdr:to>
      <xdr:col>9</xdr:col>
      <xdr:colOff>771525</xdr:colOff>
      <xdr:row>9</xdr:row>
      <xdr:rowOff>76200</xdr:rowOff>
    </xdr:to>
    <xdr:graphicFrame macro="">
      <xdr:nvGraphicFramePr>
        <xdr:cNvPr id="25" name="Graphique 24">
          <a:extLst>
            <a:ext uri="{FF2B5EF4-FFF2-40B4-BE49-F238E27FC236}">
              <a16:creationId xmlns:a16="http://schemas.microsoft.com/office/drawing/2014/main" xmlns="" id="{F2066C2E-48C9-5134-D29E-7DB1838BC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923926</xdr:colOff>
      <xdr:row>7</xdr:row>
      <xdr:rowOff>0</xdr:rowOff>
    </xdr:from>
    <xdr:to>
      <xdr:col>16</xdr:col>
      <xdr:colOff>257175</xdr:colOff>
      <xdr:row>18</xdr:row>
      <xdr:rowOff>76199</xdr:rowOff>
    </xdr:to>
    <xdr:graphicFrame macro="">
      <xdr:nvGraphicFramePr>
        <xdr:cNvPr id="26" name="Graphique 25">
          <a:extLst>
            <a:ext uri="{FF2B5EF4-FFF2-40B4-BE49-F238E27FC236}">
              <a16:creationId xmlns:a16="http://schemas.microsoft.com/office/drawing/2014/main" xmlns="" id="{E881D150-A9D9-8487-C3F7-CE5684327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219075</xdr:colOff>
      <xdr:row>11</xdr:row>
      <xdr:rowOff>38100</xdr:rowOff>
    </xdr:from>
    <xdr:to>
      <xdr:col>6</xdr:col>
      <xdr:colOff>381000</xdr:colOff>
      <xdr:row>19</xdr:row>
      <xdr:rowOff>100012</xdr:rowOff>
    </xdr:to>
    <xdr:graphicFrame macro="">
      <xdr:nvGraphicFramePr>
        <xdr:cNvPr id="29" name="Graphique 28">
          <a:extLst>
            <a:ext uri="{FF2B5EF4-FFF2-40B4-BE49-F238E27FC236}">
              <a16:creationId xmlns:a16="http://schemas.microsoft.com/office/drawing/2014/main" xmlns="" id="{6A16DD29-9CD0-EB38-9C31-248C0037E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71437</xdr:colOff>
      <xdr:row>11</xdr:row>
      <xdr:rowOff>85725</xdr:rowOff>
    </xdr:from>
    <xdr:to>
      <xdr:col>8</xdr:col>
      <xdr:colOff>514351</xdr:colOff>
      <xdr:row>19</xdr:row>
      <xdr:rowOff>142875</xdr:rowOff>
    </xdr:to>
    <xdr:graphicFrame macro="">
      <xdr:nvGraphicFramePr>
        <xdr:cNvPr id="30" name="Graphique 29">
          <a:extLst>
            <a:ext uri="{FF2B5EF4-FFF2-40B4-BE49-F238E27FC236}">
              <a16:creationId xmlns:a16="http://schemas.microsoft.com/office/drawing/2014/main" xmlns="" id="{57D7A899-19C9-A0A1-EB1C-12EC4E415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200026</xdr:colOff>
      <xdr:row>11</xdr:row>
      <xdr:rowOff>38100</xdr:rowOff>
    </xdr:from>
    <xdr:to>
      <xdr:col>10</xdr:col>
      <xdr:colOff>123825</xdr:colOff>
      <xdr:row>19</xdr:row>
      <xdr:rowOff>161925</xdr:rowOff>
    </xdr:to>
    <xdr:graphicFrame macro="">
      <xdr:nvGraphicFramePr>
        <xdr:cNvPr id="31" name="Graphique 30">
          <a:extLst>
            <a:ext uri="{FF2B5EF4-FFF2-40B4-BE49-F238E27FC236}">
              <a16:creationId xmlns:a16="http://schemas.microsoft.com/office/drawing/2014/main" xmlns="" id="{E97878F4-D6D0-2E1F-F6DD-B8B2B0BD2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185737</xdr:colOff>
      <xdr:row>18</xdr:row>
      <xdr:rowOff>114300</xdr:rowOff>
    </xdr:from>
    <xdr:to>
      <xdr:col>15</xdr:col>
      <xdr:colOff>514350</xdr:colOff>
      <xdr:row>31</xdr:row>
      <xdr:rowOff>95250</xdr:rowOff>
    </xdr:to>
    <xdr:graphicFrame macro="">
      <xdr:nvGraphicFramePr>
        <xdr:cNvPr id="33" name="Graphique 32">
          <a:extLst>
            <a:ext uri="{FF2B5EF4-FFF2-40B4-BE49-F238E27FC236}">
              <a16:creationId xmlns:a16="http://schemas.microsoft.com/office/drawing/2014/main" xmlns="" id="{F71BDA1D-6B2E-D836-5935-D24F7B4BE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</xdr:colOff>
      <xdr:row>13</xdr:row>
      <xdr:rowOff>161925</xdr:rowOff>
    </xdr:from>
    <xdr:to>
      <xdr:col>3</xdr:col>
      <xdr:colOff>190500</xdr:colOff>
      <xdr:row>16</xdr:row>
      <xdr:rowOff>28575</xdr:rowOff>
    </xdr:to>
    <xdr:sp macro="" textlink="">
      <xdr:nvSpPr>
        <xdr:cNvPr id="13" name="Rectangle : coins arrondis 1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xmlns="" id="{D52E3C7D-2B4E-49B7-A95B-16059972D728}"/>
            </a:ext>
          </a:extLst>
        </xdr:cNvPr>
        <xdr:cNvSpPr/>
      </xdr:nvSpPr>
      <xdr:spPr>
        <a:xfrm>
          <a:off x="1" y="2857500"/>
          <a:ext cx="1485899" cy="438150"/>
        </a:xfrm>
        <a:prstGeom prst="roundRect">
          <a:avLst/>
        </a:prstGeom>
        <a:solidFill>
          <a:schemeClr val="accent1">
            <a:lumMod val="50000"/>
          </a:schemeClr>
        </a:solidFill>
        <a:ln>
          <a:solidFill>
            <a:srgbClr val="47EAD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6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Enie intervent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127000</xdr:rowOff>
    </xdr:from>
    <xdr:to>
      <xdr:col>3</xdr:col>
      <xdr:colOff>21167</xdr:colOff>
      <xdr:row>2</xdr:row>
      <xdr:rowOff>190500</xdr:rowOff>
    </xdr:to>
    <xdr:sp macro="" textlink="">
      <xdr:nvSpPr>
        <xdr:cNvPr id="13" name="Rectangle : coins arrondi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279ADFB-0F63-7D66-96BF-024DD76767DB}"/>
            </a:ext>
          </a:extLst>
        </xdr:cNvPr>
        <xdr:cNvSpPr/>
      </xdr:nvSpPr>
      <xdr:spPr>
        <a:xfrm>
          <a:off x="0" y="127000"/>
          <a:ext cx="1862667" cy="539750"/>
        </a:xfrm>
        <a:prstGeom prst="roundRect">
          <a:avLst/>
        </a:prstGeom>
        <a:solidFill>
          <a:srgbClr val="FAD7C4"/>
        </a:solidFill>
        <a:ln>
          <a:solidFill>
            <a:srgbClr val="FAD7C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Acceuil</a:t>
          </a:r>
        </a:p>
      </xdr:txBody>
    </xdr:sp>
    <xdr:clientData/>
  </xdr:twoCellAnchor>
  <xdr:twoCellAnchor>
    <xdr:from>
      <xdr:col>0</xdr:col>
      <xdr:colOff>25400</xdr:colOff>
      <xdr:row>3</xdr:row>
      <xdr:rowOff>57152</xdr:rowOff>
    </xdr:from>
    <xdr:to>
      <xdr:col>3</xdr:col>
      <xdr:colOff>46567</xdr:colOff>
      <xdr:row>5</xdr:row>
      <xdr:rowOff>152402</xdr:rowOff>
    </xdr:to>
    <xdr:sp macro="" textlink="">
      <xdr:nvSpPr>
        <xdr:cNvPr id="14" name="Rectangle : coins arrondis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341C8436-FEFD-4D1F-98AC-CE343A8357C9}"/>
            </a:ext>
          </a:extLst>
        </xdr:cNvPr>
        <xdr:cNvSpPr/>
      </xdr:nvSpPr>
      <xdr:spPr>
        <a:xfrm>
          <a:off x="25400" y="734485"/>
          <a:ext cx="1862667" cy="539750"/>
        </a:xfrm>
        <a:prstGeom prst="roundRect">
          <a:avLst/>
        </a:prstGeom>
        <a:solidFill>
          <a:srgbClr val="B1A09B"/>
        </a:solidFill>
        <a:ln>
          <a:solidFill>
            <a:srgbClr val="B1A09B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Liste de donnees</a:t>
          </a:r>
        </a:p>
      </xdr:txBody>
    </xdr:sp>
    <xdr:clientData/>
  </xdr:twoCellAnchor>
  <xdr:twoCellAnchor>
    <xdr:from>
      <xdr:col>0</xdr:col>
      <xdr:colOff>29633</xdr:colOff>
      <xdr:row>6</xdr:row>
      <xdr:rowOff>40219</xdr:rowOff>
    </xdr:from>
    <xdr:to>
      <xdr:col>3</xdr:col>
      <xdr:colOff>50800</xdr:colOff>
      <xdr:row>9</xdr:row>
      <xdr:rowOff>8469</xdr:rowOff>
    </xdr:to>
    <xdr:sp macro="" textlink="">
      <xdr:nvSpPr>
        <xdr:cNvPr id="15" name="Rectangle : coins arrondi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87F30F35-F5BB-4B77-82C6-4D687DF6609F}"/>
            </a:ext>
          </a:extLst>
        </xdr:cNvPr>
        <xdr:cNvSpPr/>
      </xdr:nvSpPr>
      <xdr:spPr>
        <a:xfrm>
          <a:off x="29633" y="1352552"/>
          <a:ext cx="1862667" cy="539750"/>
        </a:xfrm>
        <a:prstGeom prst="roundRect">
          <a:avLst/>
        </a:prstGeom>
        <a:solidFill>
          <a:srgbClr val="FAD7C4"/>
        </a:solidFill>
        <a:ln>
          <a:solidFill>
            <a:srgbClr val="FAD7C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Informatique</a:t>
          </a:r>
        </a:p>
      </xdr:txBody>
    </xdr:sp>
    <xdr:clientData/>
  </xdr:twoCellAnchor>
  <xdr:twoCellAnchor>
    <xdr:from>
      <xdr:col>0</xdr:col>
      <xdr:colOff>33867</xdr:colOff>
      <xdr:row>9</xdr:row>
      <xdr:rowOff>65619</xdr:rowOff>
    </xdr:from>
    <xdr:to>
      <xdr:col>3</xdr:col>
      <xdr:colOff>55034</xdr:colOff>
      <xdr:row>12</xdr:row>
      <xdr:rowOff>33869</xdr:rowOff>
    </xdr:to>
    <xdr:sp macro="" textlink="">
      <xdr:nvSpPr>
        <xdr:cNvPr id="16" name="Rectangle : coins arrondis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AC5A66E2-157B-4855-AFA5-03445F83B1E4}"/>
            </a:ext>
          </a:extLst>
        </xdr:cNvPr>
        <xdr:cNvSpPr/>
      </xdr:nvSpPr>
      <xdr:spPr>
        <a:xfrm>
          <a:off x="33867" y="1949452"/>
          <a:ext cx="1862667" cy="539750"/>
        </a:xfrm>
        <a:prstGeom prst="roundRect">
          <a:avLst/>
        </a:prstGeom>
        <a:solidFill>
          <a:srgbClr val="FAD7C4"/>
        </a:solidFill>
        <a:ln>
          <a:solidFill>
            <a:srgbClr val="FAD7C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Topographique</a:t>
          </a:r>
        </a:p>
      </xdr:txBody>
    </xdr:sp>
    <xdr:clientData/>
  </xdr:twoCellAnchor>
  <xdr:twoCellAnchor>
    <xdr:from>
      <xdr:col>0</xdr:col>
      <xdr:colOff>27517</xdr:colOff>
      <xdr:row>12</xdr:row>
      <xdr:rowOff>80437</xdr:rowOff>
    </xdr:from>
    <xdr:to>
      <xdr:col>3</xdr:col>
      <xdr:colOff>48684</xdr:colOff>
      <xdr:row>15</xdr:row>
      <xdr:rowOff>48687</xdr:rowOff>
    </xdr:to>
    <xdr:sp macro="" textlink="">
      <xdr:nvSpPr>
        <xdr:cNvPr id="17" name="Rectangle : coins arrondis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D52E3C7D-2B4E-49B7-A95B-16059972D728}"/>
            </a:ext>
          </a:extLst>
        </xdr:cNvPr>
        <xdr:cNvSpPr/>
      </xdr:nvSpPr>
      <xdr:spPr>
        <a:xfrm>
          <a:off x="27517" y="2535770"/>
          <a:ext cx="1862667" cy="539750"/>
        </a:xfrm>
        <a:prstGeom prst="roundRect">
          <a:avLst/>
        </a:prstGeom>
        <a:solidFill>
          <a:srgbClr val="FAD7C4"/>
        </a:solidFill>
        <a:ln>
          <a:solidFill>
            <a:srgbClr val="FAD7C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Didactique</a:t>
          </a:r>
        </a:p>
      </xdr:txBody>
    </xdr:sp>
    <xdr:clientData/>
  </xdr:twoCellAnchor>
  <xdr:twoCellAnchor>
    <xdr:from>
      <xdr:col>0</xdr:col>
      <xdr:colOff>52916</xdr:colOff>
      <xdr:row>15</xdr:row>
      <xdr:rowOff>137583</xdr:rowOff>
    </xdr:from>
    <xdr:to>
      <xdr:col>3</xdr:col>
      <xdr:colOff>61383</xdr:colOff>
      <xdr:row>18</xdr:row>
      <xdr:rowOff>123825</xdr:rowOff>
    </xdr:to>
    <xdr:sp macro="" textlink="">
      <xdr:nvSpPr>
        <xdr:cNvPr id="7" name="Rectangle : coins arrondis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D52E3C7D-2B4E-49B7-A95B-16059972D728}"/>
            </a:ext>
          </a:extLst>
        </xdr:cNvPr>
        <xdr:cNvSpPr/>
      </xdr:nvSpPr>
      <xdr:spPr>
        <a:xfrm>
          <a:off x="52916" y="3270250"/>
          <a:ext cx="1849967" cy="568325"/>
        </a:xfrm>
        <a:prstGeom prst="roundRect">
          <a:avLst/>
        </a:prstGeom>
        <a:solidFill>
          <a:srgbClr val="FAD7C4"/>
        </a:solidFill>
        <a:ln>
          <a:solidFill>
            <a:srgbClr val="FAD7C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Enie intervent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1</xdr:row>
      <xdr:rowOff>5102</xdr:rowOff>
    </xdr:from>
    <xdr:to>
      <xdr:col>0</xdr:col>
      <xdr:colOff>1809751</xdr:colOff>
      <xdr:row>3</xdr:row>
      <xdr:rowOff>44450</xdr:rowOff>
    </xdr:to>
    <xdr:sp macro="" textlink="">
      <xdr:nvSpPr>
        <xdr:cNvPr id="15" name="Rectangle : coins arrondi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432F214-F730-4470-8641-BD89FCAB9A4F}"/>
            </a:ext>
          </a:extLst>
        </xdr:cNvPr>
        <xdr:cNvSpPr/>
      </xdr:nvSpPr>
      <xdr:spPr>
        <a:xfrm>
          <a:off x="19051" y="278946"/>
          <a:ext cx="1790700" cy="563223"/>
        </a:xfrm>
        <a:prstGeom prst="roundRect">
          <a:avLst/>
        </a:prstGeom>
        <a:solidFill>
          <a:srgbClr val="DB6A8F"/>
        </a:solidFill>
        <a:ln>
          <a:solidFill>
            <a:srgbClr val="DB6A8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Acceuil</a:t>
          </a:r>
        </a:p>
      </xdr:txBody>
    </xdr:sp>
    <xdr:clientData/>
  </xdr:twoCellAnchor>
  <xdr:twoCellAnchor>
    <xdr:from>
      <xdr:col>0</xdr:col>
      <xdr:colOff>28576</xdr:colOff>
      <xdr:row>3</xdr:row>
      <xdr:rowOff>114300</xdr:rowOff>
    </xdr:from>
    <xdr:to>
      <xdr:col>1</xdr:col>
      <xdr:colOff>1</xdr:colOff>
      <xdr:row>7</xdr:row>
      <xdr:rowOff>95250</xdr:rowOff>
    </xdr:to>
    <xdr:sp macro="" textlink="">
      <xdr:nvSpPr>
        <xdr:cNvPr id="16" name="Rectangle : coins arrondis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3CEFF80B-4285-48AE-B2C0-F9579E2C207A}"/>
            </a:ext>
          </a:extLst>
        </xdr:cNvPr>
        <xdr:cNvSpPr/>
      </xdr:nvSpPr>
      <xdr:spPr>
        <a:xfrm>
          <a:off x="28576" y="912019"/>
          <a:ext cx="1816894" cy="552450"/>
        </a:xfrm>
        <a:prstGeom prst="roundRect">
          <a:avLst/>
        </a:prstGeom>
        <a:solidFill>
          <a:srgbClr val="DB6A8F"/>
        </a:solidFill>
        <a:ln>
          <a:solidFill>
            <a:srgbClr val="DB6A8F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Liste de donnees</a:t>
          </a:r>
        </a:p>
      </xdr:txBody>
    </xdr:sp>
    <xdr:clientData/>
  </xdr:twoCellAnchor>
  <xdr:twoCellAnchor>
    <xdr:from>
      <xdr:col>0</xdr:col>
      <xdr:colOff>4764</xdr:colOff>
      <xdr:row>7</xdr:row>
      <xdr:rowOff>190499</xdr:rowOff>
    </xdr:from>
    <xdr:to>
      <xdr:col>0</xdr:col>
      <xdr:colOff>1809750</xdr:colOff>
      <xdr:row>11</xdr:row>
      <xdr:rowOff>154780</xdr:rowOff>
    </xdr:to>
    <xdr:sp macro="" textlink="">
      <xdr:nvSpPr>
        <xdr:cNvPr id="17" name="Rectangle : coins arrondis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9B9B7D08-4D8B-47B9-9F28-6847679ADF38}"/>
            </a:ext>
          </a:extLst>
        </xdr:cNvPr>
        <xdr:cNvSpPr/>
      </xdr:nvSpPr>
      <xdr:spPr>
        <a:xfrm>
          <a:off x="4764" y="1559718"/>
          <a:ext cx="1804986" cy="345281"/>
        </a:xfrm>
        <a:prstGeom prst="roundRect">
          <a:avLst/>
        </a:prstGeom>
        <a:solidFill>
          <a:srgbClr val="CA3C66"/>
        </a:solidFill>
        <a:ln>
          <a:solidFill>
            <a:srgbClr val="CA3C6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Informatique</a:t>
          </a:r>
        </a:p>
      </xdr:txBody>
    </xdr:sp>
    <xdr:clientData/>
  </xdr:twoCellAnchor>
  <xdr:twoCellAnchor>
    <xdr:from>
      <xdr:col>0</xdr:col>
      <xdr:colOff>23813</xdr:colOff>
      <xdr:row>12</xdr:row>
      <xdr:rowOff>0</xdr:rowOff>
    </xdr:from>
    <xdr:to>
      <xdr:col>0</xdr:col>
      <xdr:colOff>1833562</xdr:colOff>
      <xdr:row>16</xdr:row>
      <xdr:rowOff>0</xdr:rowOff>
    </xdr:to>
    <xdr:sp macro="" textlink="">
      <xdr:nvSpPr>
        <xdr:cNvPr id="18" name="Rectangle : coins arrondis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96F3E57B-347B-44AD-B24C-D5F246E6C2C5}"/>
            </a:ext>
          </a:extLst>
        </xdr:cNvPr>
        <xdr:cNvSpPr/>
      </xdr:nvSpPr>
      <xdr:spPr>
        <a:xfrm>
          <a:off x="23813" y="1940719"/>
          <a:ext cx="1809749" cy="381000"/>
        </a:xfrm>
        <a:prstGeom prst="roundRect">
          <a:avLst/>
        </a:prstGeom>
        <a:solidFill>
          <a:srgbClr val="DB6A8F"/>
        </a:solidFill>
        <a:ln>
          <a:solidFill>
            <a:srgbClr val="DB6A8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Topographie</a:t>
          </a:r>
        </a:p>
      </xdr:txBody>
    </xdr:sp>
    <xdr:clientData/>
  </xdr:twoCellAnchor>
  <xdr:twoCellAnchor>
    <xdr:from>
      <xdr:col>0</xdr:col>
      <xdr:colOff>23813</xdr:colOff>
      <xdr:row>17</xdr:row>
      <xdr:rowOff>35718</xdr:rowOff>
    </xdr:from>
    <xdr:to>
      <xdr:col>0</xdr:col>
      <xdr:colOff>1833563</xdr:colOff>
      <xdr:row>20</xdr:row>
      <xdr:rowOff>0</xdr:rowOff>
    </xdr:to>
    <xdr:sp macro="" textlink="">
      <xdr:nvSpPr>
        <xdr:cNvPr id="19" name="Rectangle : coins arrondis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283C3DFF-710C-4C83-B6F2-C496325E4E79}"/>
            </a:ext>
          </a:extLst>
        </xdr:cNvPr>
        <xdr:cNvSpPr/>
      </xdr:nvSpPr>
      <xdr:spPr>
        <a:xfrm>
          <a:off x="23813" y="2357437"/>
          <a:ext cx="1809750" cy="345282"/>
        </a:xfrm>
        <a:prstGeom prst="roundRect">
          <a:avLst/>
        </a:prstGeom>
        <a:solidFill>
          <a:srgbClr val="DB6A8F"/>
        </a:solidFill>
        <a:ln>
          <a:solidFill>
            <a:srgbClr val="DB6A8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Didactique</a:t>
          </a:r>
        </a:p>
      </xdr:txBody>
    </xdr:sp>
    <xdr:clientData/>
  </xdr:twoCellAnchor>
  <xdr:twoCellAnchor editAs="absolute">
    <xdr:from>
      <xdr:col>11</xdr:col>
      <xdr:colOff>788194</xdr:colOff>
      <xdr:row>0</xdr:row>
      <xdr:rowOff>0</xdr:rowOff>
    </xdr:from>
    <xdr:to>
      <xdr:col>13</xdr:col>
      <xdr:colOff>309563</xdr:colOff>
      <xdr:row>3</xdr:row>
      <xdr:rowOff>83343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technicie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chnicie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56132" y="0"/>
              <a:ext cx="2355056" cy="8810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sont pris en charge dans Excel 2013 ou version ultérieure.
En revanche, si la forme a été modifiée dans une version précédente d’Excel, ou si le classeur a été enregistré dans Excel 2007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13</xdr:col>
      <xdr:colOff>311944</xdr:colOff>
      <xdr:row>0</xdr:row>
      <xdr:rowOff>0</xdr:rowOff>
    </xdr:from>
    <xdr:to>
      <xdr:col>14</xdr:col>
      <xdr:colOff>831056</xdr:colOff>
      <xdr:row>3</xdr:row>
      <xdr:rowOff>95250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re/nr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/n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13569" y="0"/>
              <a:ext cx="1828800" cy="8929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sont pris en charge dans Excel 2013 ou version ultérieure.
En revanche, si la forme a été modifiée dans une version précédente d’Excel, ou si le classeur a été enregistré dans Excel 2007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0</xdr:col>
      <xdr:colOff>23813</xdr:colOff>
      <xdr:row>21</xdr:row>
      <xdr:rowOff>35719</xdr:rowOff>
    </xdr:from>
    <xdr:to>
      <xdr:col>0</xdr:col>
      <xdr:colOff>1809751</xdr:colOff>
      <xdr:row>24</xdr:row>
      <xdr:rowOff>0</xdr:rowOff>
    </xdr:to>
    <xdr:sp macro="" textlink="">
      <xdr:nvSpPr>
        <xdr:cNvPr id="9" name="Rectangle : coins arrondis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D52E3C7D-2B4E-49B7-A95B-16059972D728}"/>
            </a:ext>
          </a:extLst>
        </xdr:cNvPr>
        <xdr:cNvSpPr/>
      </xdr:nvSpPr>
      <xdr:spPr>
        <a:xfrm>
          <a:off x="23813" y="2738438"/>
          <a:ext cx="1785938" cy="345281"/>
        </a:xfrm>
        <a:prstGeom prst="roundRect">
          <a:avLst/>
        </a:prstGeom>
        <a:solidFill>
          <a:srgbClr val="DB6A8F"/>
        </a:solidFill>
        <a:ln>
          <a:solidFill>
            <a:srgbClr val="DB6A8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Enie intervent</a:t>
          </a:r>
        </a:p>
      </xdr:txBody>
    </xdr:sp>
    <xdr:clientData/>
  </xdr:twoCellAnchor>
  <xdr:twoCellAnchor editAs="absolute">
    <xdr:from>
      <xdr:col>0</xdr:col>
      <xdr:colOff>0</xdr:colOff>
      <xdr:row>85</xdr:row>
      <xdr:rowOff>85726</xdr:rowOff>
    </xdr:from>
    <xdr:to>
      <xdr:col>0</xdr:col>
      <xdr:colOff>1828800</xdr:colOff>
      <xdr:row>89</xdr:row>
      <xdr:rowOff>154781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technicie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chnicie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122195"/>
              <a:ext cx="1828800" cy="9739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sont pris en charge dans Excel 2013 ou version ultérieure.
En revanche, si la forme a été modifiée dans une version précédente d’Excel, ou si le classeur a été enregistré dans Excel 2007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0</xdr:colOff>
      <xdr:row>100</xdr:row>
      <xdr:rowOff>50009</xdr:rowOff>
    </xdr:from>
    <xdr:to>
      <xdr:col>0</xdr:col>
      <xdr:colOff>1828800</xdr:colOff>
      <xdr:row>106</xdr:row>
      <xdr:rowOff>166689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re/nr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/nr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181853"/>
              <a:ext cx="1828800" cy="878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sont pris en charge dans Excel 2013 ou version ultérieure.
En revanche, si la forme a été modifiée dans une version précédente d’Excel, ou si le classeur a été enregistré dans Excel 2007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0</xdr:colOff>
      <xdr:row>107</xdr:row>
      <xdr:rowOff>157166</xdr:rowOff>
    </xdr:from>
    <xdr:to>
      <xdr:col>0</xdr:col>
      <xdr:colOff>1828800</xdr:colOff>
      <xdr:row>112</xdr:row>
      <xdr:rowOff>23814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technicien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chnicie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241510"/>
              <a:ext cx="1828800" cy="8191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sont pris en charge dans Excel 2013 ou version ultérieure.
En revanche, si la forme a été modifiée dans une version précédente d’Excel, ou si le classeur a été enregistré dans Excel 2007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7143</xdr:colOff>
      <xdr:row>112</xdr:row>
      <xdr:rowOff>97631</xdr:rowOff>
    </xdr:from>
    <xdr:to>
      <xdr:col>0</xdr:col>
      <xdr:colOff>1835943</xdr:colOff>
      <xdr:row>116</xdr:row>
      <xdr:rowOff>142875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7" name="re/nr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/nr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3" y="9134475"/>
              <a:ext cx="1828800" cy="8072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sont pris en charge dans Excel 2013 ou version ultérieure.
En revanche, si la forme a été modifiée dans une version précédente d’Excel, ou si le classeur a été enregistré dans Excel 2007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561974</xdr:colOff>
      <xdr:row>0</xdr:row>
      <xdr:rowOff>0</xdr:rowOff>
    </xdr:from>
    <xdr:to>
      <xdr:col>8</xdr:col>
      <xdr:colOff>1200149</xdr:colOff>
      <xdr:row>2</xdr:row>
      <xdr:rowOff>119062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8" name="etablisement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tablisement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53162" y="0"/>
              <a:ext cx="1828800" cy="7262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sont pris en charge dans Excel 2013 ou version ultérieure.
En revanche, si la forme a été modifiée dans une version précédente d’Excel, ou si le classeur a été enregistré dans Excel 2007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</xdr:colOff>
      <xdr:row>1</xdr:row>
      <xdr:rowOff>11906</xdr:rowOff>
    </xdr:from>
    <xdr:to>
      <xdr:col>3</xdr:col>
      <xdr:colOff>45773</xdr:colOff>
      <xdr:row>3</xdr:row>
      <xdr:rowOff>75406</xdr:rowOff>
    </xdr:to>
    <xdr:sp macro="" textlink="">
      <xdr:nvSpPr>
        <xdr:cNvPr id="12" name="Rectangle : coins arrondi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A62BDD18-B1DC-4FC0-AB09-82A5F17CBF81}"/>
            </a:ext>
          </a:extLst>
        </xdr:cNvPr>
        <xdr:cNvSpPr/>
      </xdr:nvSpPr>
      <xdr:spPr>
        <a:xfrm>
          <a:off x="11906" y="202406"/>
          <a:ext cx="1855523" cy="599281"/>
        </a:xfrm>
        <a:prstGeom prst="roundRect">
          <a:avLst/>
        </a:prstGeom>
        <a:solidFill>
          <a:srgbClr val="D46F4D"/>
        </a:solidFill>
        <a:ln>
          <a:solidFill>
            <a:srgbClr val="D46F4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Acceuil</a:t>
          </a:r>
        </a:p>
      </xdr:txBody>
    </xdr:sp>
    <xdr:clientData/>
  </xdr:twoCellAnchor>
  <xdr:twoCellAnchor>
    <xdr:from>
      <xdr:col>0</xdr:col>
      <xdr:colOff>0</xdr:colOff>
      <xdr:row>3</xdr:row>
      <xdr:rowOff>166687</xdr:rowOff>
    </xdr:from>
    <xdr:to>
      <xdr:col>3</xdr:col>
      <xdr:colOff>33867</xdr:colOff>
      <xdr:row>6</xdr:row>
      <xdr:rowOff>134937</xdr:rowOff>
    </xdr:to>
    <xdr:sp macro="" textlink="">
      <xdr:nvSpPr>
        <xdr:cNvPr id="14" name="Rectangle : coins arrondis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48E28024-FB5A-4AB7-8CB5-C66751ED0032}"/>
            </a:ext>
          </a:extLst>
        </xdr:cNvPr>
        <xdr:cNvSpPr/>
      </xdr:nvSpPr>
      <xdr:spPr>
        <a:xfrm>
          <a:off x="0" y="833437"/>
          <a:ext cx="1855523" cy="539750"/>
        </a:xfrm>
        <a:prstGeom prst="roundRect">
          <a:avLst/>
        </a:prstGeom>
        <a:solidFill>
          <a:srgbClr val="D46F4D"/>
        </a:solidFill>
        <a:ln>
          <a:solidFill>
            <a:srgbClr val="D46F4D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Liste de donnees</a:t>
          </a:r>
        </a:p>
      </xdr:txBody>
    </xdr:sp>
    <xdr:clientData/>
  </xdr:twoCellAnchor>
  <xdr:twoCellAnchor>
    <xdr:from>
      <xdr:col>0</xdr:col>
      <xdr:colOff>1</xdr:colOff>
      <xdr:row>7</xdr:row>
      <xdr:rowOff>23813</xdr:rowOff>
    </xdr:from>
    <xdr:to>
      <xdr:col>3</xdr:col>
      <xdr:colOff>33868</xdr:colOff>
      <xdr:row>10</xdr:row>
      <xdr:rowOff>23813</xdr:rowOff>
    </xdr:to>
    <xdr:sp macro="" textlink="">
      <xdr:nvSpPr>
        <xdr:cNvPr id="15" name="Rectangle : coins arrondi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8E3BEDC8-0C8D-44C1-95E4-35E4391AB09F}"/>
            </a:ext>
          </a:extLst>
        </xdr:cNvPr>
        <xdr:cNvSpPr/>
      </xdr:nvSpPr>
      <xdr:spPr>
        <a:xfrm>
          <a:off x="1" y="1452563"/>
          <a:ext cx="1855523" cy="571500"/>
        </a:xfrm>
        <a:prstGeom prst="roundRect">
          <a:avLst/>
        </a:prstGeom>
        <a:solidFill>
          <a:srgbClr val="D46F4D"/>
        </a:solidFill>
        <a:ln>
          <a:solidFill>
            <a:srgbClr val="D46F4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Informatique</a:t>
          </a:r>
        </a:p>
      </xdr:txBody>
    </xdr:sp>
    <xdr:clientData/>
  </xdr:twoCellAnchor>
  <xdr:twoCellAnchor>
    <xdr:from>
      <xdr:col>0</xdr:col>
      <xdr:colOff>0</xdr:colOff>
      <xdr:row>10</xdr:row>
      <xdr:rowOff>107156</xdr:rowOff>
    </xdr:from>
    <xdr:to>
      <xdr:col>3</xdr:col>
      <xdr:colOff>33867</xdr:colOff>
      <xdr:row>13</xdr:row>
      <xdr:rowOff>107156</xdr:rowOff>
    </xdr:to>
    <xdr:sp macro="" textlink="">
      <xdr:nvSpPr>
        <xdr:cNvPr id="16" name="Rectangle : coins arrondis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1DA2A9B9-55CC-43F6-B54A-4DBA87F3017C}"/>
            </a:ext>
          </a:extLst>
        </xdr:cNvPr>
        <xdr:cNvSpPr/>
      </xdr:nvSpPr>
      <xdr:spPr>
        <a:xfrm>
          <a:off x="0" y="2107406"/>
          <a:ext cx="1855523" cy="571500"/>
        </a:xfrm>
        <a:prstGeom prst="roundRect">
          <a:avLst/>
        </a:prstGeom>
        <a:solidFill>
          <a:srgbClr val="FFBF66"/>
        </a:solidFill>
        <a:ln>
          <a:solidFill>
            <a:srgbClr val="FFBF6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Topographie</a:t>
          </a:r>
        </a:p>
      </xdr:txBody>
    </xdr:sp>
    <xdr:clientData/>
  </xdr:twoCellAnchor>
  <xdr:twoCellAnchor>
    <xdr:from>
      <xdr:col>0</xdr:col>
      <xdr:colOff>0</xdr:colOff>
      <xdr:row>14</xdr:row>
      <xdr:rowOff>0</xdr:rowOff>
    </xdr:from>
    <xdr:to>
      <xdr:col>3</xdr:col>
      <xdr:colOff>33867</xdr:colOff>
      <xdr:row>16</xdr:row>
      <xdr:rowOff>119062</xdr:rowOff>
    </xdr:to>
    <xdr:sp macro="" textlink="">
      <xdr:nvSpPr>
        <xdr:cNvPr id="17" name="Rectangle : coins arrondis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4F017C74-F7D5-4C9D-AF17-D02A9C4116E1}"/>
            </a:ext>
          </a:extLst>
        </xdr:cNvPr>
        <xdr:cNvSpPr/>
      </xdr:nvSpPr>
      <xdr:spPr>
        <a:xfrm>
          <a:off x="0" y="2821781"/>
          <a:ext cx="1855523" cy="607219"/>
        </a:xfrm>
        <a:prstGeom prst="roundRect">
          <a:avLst/>
        </a:prstGeom>
        <a:solidFill>
          <a:srgbClr val="D46F4D"/>
        </a:solidFill>
        <a:ln>
          <a:solidFill>
            <a:srgbClr val="D46F4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Didactique</a:t>
          </a:r>
        </a:p>
      </xdr:txBody>
    </xdr:sp>
    <xdr:clientData/>
  </xdr:twoCellAnchor>
  <xdr:twoCellAnchor>
    <xdr:from>
      <xdr:col>0</xdr:col>
      <xdr:colOff>31750</xdr:colOff>
      <xdr:row>17</xdr:row>
      <xdr:rowOff>63500</xdr:rowOff>
    </xdr:from>
    <xdr:to>
      <xdr:col>3</xdr:col>
      <xdr:colOff>40217</xdr:colOff>
      <xdr:row>20</xdr:row>
      <xdr:rowOff>60325</xdr:rowOff>
    </xdr:to>
    <xdr:sp macro="" textlink="">
      <xdr:nvSpPr>
        <xdr:cNvPr id="7" name="Rectangle : coins arrondis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D52E3C7D-2B4E-49B7-A95B-16059972D728}"/>
            </a:ext>
          </a:extLst>
        </xdr:cNvPr>
        <xdr:cNvSpPr/>
      </xdr:nvSpPr>
      <xdr:spPr>
        <a:xfrm>
          <a:off x="31750" y="3566583"/>
          <a:ext cx="1849967" cy="568325"/>
        </a:xfrm>
        <a:prstGeom prst="roundRect">
          <a:avLst/>
        </a:prstGeom>
        <a:solidFill>
          <a:srgbClr val="D46F4D"/>
        </a:solidFill>
        <a:ln>
          <a:solidFill>
            <a:srgbClr val="D46F4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Enie intervent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23813</xdr:colOff>
      <xdr:row>1</xdr:row>
      <xdr:rowOff>11905</xdr:rowOff>
    </xdr:from>
    <xdr:to>
      <xdr:col>3</xdr:col>
      <xdr:colOff>57680</xdr:colOff>
      <xdr:row>3</xdr:row>
      <xdr:rowOff>134936</xdr:rowOff>
    </xdr:to>
    <xdr:sp macro="" textlink="">
      <xdr:nvSpPr>
        <xdr:cNvPr id="12" name="Rectangle : coins arrondi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E261F57-3A35-4742-87BA-8CEC908C743F}"/>
            </a:ext>
          </a:extLst>
        </xdr:cNvPr>
        <xdr:cNvSpPr/>
      </xdr:nvSpPr>
      <xdr:spPr>
        <a:xfrm>
          <a:off x="23813" y="202405"/>
          <a:ext cx="1855523" cy="611187"/>
        </a:xfrm>
        <a:prstGeom prst="roundRect">
          <a:avLst/>
        </a:prstGeom>
        <a:solidFill>
          <a:srgbClr val="4B5943"/>
        </a:solidFill>
        <a:ln>
          <a:solidFill>
            <a:srgbClr val="4B594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Acceuil</a:t>
          </a:r>
        </a:p>
      </xdr:txBody>
    </xdr:sp>
    <xdr:clientData/>
  </xdr:twoCellAnchor>
  <xdr:twoCellAnchor>
    <xdr:from>
      <xdr:col>0</xdr:col>
      <xdr:colOff>35720</xdr:colOff>
      <xdr:row>4</xdr:row>
      <xdr:rowOff>0</xdr:rowOff>
    </xdr:from>
    <xdr:to>
      <xdr:col>3</xdr:col>
      <xdr:colOff>69587</xdr:colOff>
      <xdr:row>6</xdr:row>
      <xdr:rowOff>158750</xdr:rowOff>
    </xdr:to>
    <xdr:sp macro="" textlink="">
      <xdr:nvSpPr>
        <xdr:cNvPr id="13" name="Rectangle : coins arrondis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4EA2F39F-238D-4FCE-B42E-7AF395461124}"/>
            </a:ext>
          </a:extLst>
        </xdr:cNvPr>
        <xdr:cNvSpPr/>
      </xdr:nvSpPr>
      <xdr:spPr>
        <a:xfrm>
          <a:off x="35720" y="809625"/>
          <a:ext cx="1855523" cy="539750"/>
        </a:xfrm>
        <a:prstGeom prst="roundRect">
          <a:avLst/>
        </a:prstGeom>
        <a:solidFill>
          <a:srgbClr val="4B5943"/>
        </a:solidFill>
        <a:ln>
          <a:solidFill>
            <a:srgbClr val="4B5943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Liste de donnees</a:t>
          </a:r>
        </a:p>
      </xdr:txBody>
    </xdr:sp>
    <xdr:clientData/>
  </xdr:twoCellAnchor>
  <xdr:twoCellAnchor>
    <xdr:from>
      <xdr:col>0</xdr:col>
      <xdr:colOff>23813</xdr:colOff>
      <xdr:row>7</xdr:row>
      <xdr:rowOff>35719</xdr:rowOff>
    </xdr:from>
    <xdr:to>
      <xdr:col>3</xdr:col>
      <xdr:colOff>57680</xdr:colOff>
      <xdr:row>10</xdr:row>
      <xdr:rowOff>35719</xdr:rowOff>
    </xdr:to>
    <xdr:sp macro="" textlink="">
      <xdr:nvSpPr>
        <xdr:cNvPr id="14" name="Rectangle : coins arrondis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D9ED3165-E1C0-42D4-8A77-572E9D786B90}"/>
            </a:ext>
          </a:extLst>
        </xdr:cNvPr>
        <xdr:cNvSpPr/>
      </xdr:nvSpPr>
      <xdr:spPr>
        <a:xfrm>
          <a:off x="23813" y="1416844"/>
          <a:ext cx="1855523" cy="571500"/>
        </a:xfrm>
        <a:prstGeom prst="roundRect">
          <a:avLst/>
        </a:prstGeom>
        <a:solidFill>
          <a:srgbClr val="4B5943"/>
        </a:solidFill>
        <a:ln>
          <a:solidFill>
            <a:srgbClr val="4B594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Informatique</a:t>
          </a:r>
        </a:p>
      </xdr:txBody>
    </xdr:sp>
    <xdr:clientData/>
  </xdr:twoCellAnchor>
  <xdr:twoCellAnchor>
    <xdr:from>
      <xdr:col>0</xdr:col>
      <xdr:colOff>23813</xdr:colOff>
      <xdr:row>10</xdr:row>
      <xdr:rowOff>119062</xdr:rowOff>
    </xdr:from>
    <xdr:to>
      <xdr:col>3</xdr:col>
      <xdr:colOff>57680</xdr:colOff>
      <xdr:row>13</xdr:row>
      <xdr:rowOff>119062</xdr:rowOff>
    </xdr:to>
    <xdr:sp macro="" textlink="">
      <xdr:nvSpPr>
        <xdr:cNvPr id="15" name="Rectangle : coins arrondi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1877F32A-740B-46D6-923F-53140406BADC}"/>
            </a:ext>
          </a:extLst>
        </xdr:cNvPr>
        <xdr:cNvSpPr/>
      </xdr:nvSpPr>
      <xdr:spPr>
        <a:xfrm>
          <a:off x="23813" y="2071687"/>
          <a:ext cx="1855523" cy="571500"/>
        </a:xfrm>
        <a:prstGeom prst="roundRect">
          <a:avLst/>
        </a:prstGeom>
        <a:solidFill>
          <a:srgbClr val="4B5943"/>
        </a:solidFill>
        <a:ln>
          <a:solidFill>
            <a:srgbClr val="4B594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Topographie</a:t>
          </a:r>
        </a:p>
      </xdr:txBody>
    </xdr:sp>
    <xdr:clientData/>
  </xdr:twoCellAnchor>
  <xdr:twoCellAnchor>
    <xdr:from>
      <xdr:col>0</xdr:col>
      <xdr:colOff>23812</xdr:colOff>
      <xdr:row>14</xdr:row>
      <xdr:rowOff>1</xdr:rowOff>
    </xdr:from>
    <xdr:to>
      <xdr:col>3</xdr:col>
      <xdr:colOff>57679</xdr:colOff>
      <xdr:row>16</xdr:row>
      <xdr:rowOff>59531</xdr:rowOff>
    </xdr:to>
    <xdr:sp macro="" textlink="">
      <xdr:nvSpPr>
        <xdr:cNvPr id="16" name="Rectangle : coins arrondis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E502B78C-3C03-4D26-B0B9-24B05620BBA9}"/>
            </a:ext>
          </a:extLst>
        </xdr:cNvPr>
        <xdr:cNvSpPr/>
      </xdr:nvSpPr>
      <xdr:spPr>
        <a:xfrm>
          <a:off x="23812" y="2774157"/>
          <a:ext cx="1855523" cy="547687"/>
        </a:xfrm>
        <a:prstGeom prst="roundRect">
          <a:avLst/>
        </a:prstGeom>
        <a:solidFill>
          <a:srgbClr val="8FB43A"/>
        </a:solidFill>
        <a:ln>
          <a:solidFill>
            <a:srgbClr val="8FB43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Didactique</a:t>
          </a:r>
        </a:p>
      </xdr:txBody>
    </xdr:sp>
    <xdr:clientData/>
  </xdr:twoCellAnchor>
  <xdr:twoCellAnchor>
    <xdr:from>
      <xdr:col>0</xdr:col>
      <xdr:colOff>1</xdr:colOff>
      <xdr:row>16</xdr:row>
      <xdr:rowOff>148166</xdr:rowOff>
    </xdr:from>
    <xdr:to>
      <xdr:col>3</xdr:col>
      <xdr:colOff>52917</xdr:colOff>
      <xdr:row>19</xdr:row>
      <xdr:rowOff>144991</xdr:rowOff>
    </xdr:to>
    <xdr:sp macro="" textlink="">
      <xdr:nvSpPr>
        <xdr:cNvPr id="7" name="Rectangle : coins arrondis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D52E3C7D-2B4E-49B7-A95B-16059972D728}"/>
            </a:ext>
          </a:extLst>
        </xdr:cNvPr>
        <xdr:cNvSpPr/>
      </xdr:nvSpPr>
      <xdr:spPr>
        <a:xfrm>
          <a:off x="1" y="3407833"/>
          <a:ext cx="1894416" cy="568325"/>
        </a:xfrm>
        <a:prstGeom prst="roundRect">
          <a:avLst/>
        </a:prstGeom>
        <a:solidFill>
          <a:srgbClr val="4B5943"/>
        </a:solidFill>
        <a:ln>
          <a:solidFill>
            <a:srgbClr val="4B594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Enie intervent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127000</xdr:rowOff>
    </xdr:from>
    <xdr:to>
      <xdr:col>3</xdr:col>
      <xdr:colOff>21167</xdr:colOff>
      <xdr:row>2</xdr:row>
      <xdr:rowOff>190500</xdr:rowOff>
    </xdr:to>
    <xdr:sp macro="" textlink="">
      <xdr:nvSpPr>
        <xdr:cNvPr id="2" name="Rectangle : coins arrondi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279ADFB-0F63-7D66-96BF-024DD76767DB}"/>
            </a:ext>
          </a:extLst>
        </xdr:cNvPr>
        <xdr:cNvSpPr/>
      </xdr:nvSpPr>
      <xdr:spPr>
        <a:xfrm>
          <a:off x="0" y="127000"/>
          <a:ext cx="1849967" cy="53022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47EAD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Acceuil</a:t>
          </a:r>
        </a:p>
      </xdr:txBody>
    </xdr:sp>
    <xdr:clientData/>
  </xdr:twoCellAnchor>
  <xdr:twoCellAnchor>
    <xdr:from>
      <xdr:col>0</xdr:col>
      <xdr:colOff>25400</xdr:colOff>
      <xdr:row>3</xdr:row>
      <xdr:rowOff>57152</xdr:rowOff>
    </xdr:from>
    <xdr:to>
      <xdr:col>3</xdr:col>
      <xdr:colOff>46567</xdr:colOff>
      <xdr:row>5</xdr:row>
      <xdr:rowOff>152402</xdr:rowOff>
    </xdr:to>
    <xdr:sp macro="" textlink="">
      <xdr:nvSpPr>
        <xdr:cNvPr id="3" name="Rectangle : coins arrondis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341C8436-FEFD-4D1F-98AC-CE343A8357C9}"/>
            </a:ext>
          </a:extLst>
        </xdr:cNvPr>
        <xdr:cNvSpPr/>
      </xdr:nvSpPr>
      <xdr:spPr>
        <a:xfrm>
          <a:off x="25400" y="723902"/>
          <a:ext cx="1849967" cy="5334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47EAD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Liste de donnees</a:t>
          </a:r>
        </a:p>
      </xdr:txBody>
    </xdr:sp>
    <xdr:clientData/>
  </xdr:twoCellAnchor>
  <xdr:twoCellAnchor>
    <xdr:from>
      <xdr:col>0</xdr:col>
      <xdr:colOff>29633</xdr:colOff>
      <xdr:row>6</xdr:row>
      <xdr:rowOff>40219</xdr:rowOff>
    </xdr:from>
    <xdr:to>
      <xdr:col>3</xdr:col>
      <xdr:colOff>50800</xdr:colOff>
      <xdr:row>9</xdr:row>
      <xdr:rowOff>8469</xdr:rowOff>
    </xdr:to>
    <xdr:sp macro="" textlink="">
      <xdr:nvSpPr>
        <xdr:cNvPr id="4" name="Rectangle : coins arrondi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87F30F35-F5BB-4B77-82C6-4D687DF6609F}"/>
            </a:ext>
          </a:extLst>
        </xdr:cNvPr>
        <xdr:cNvSpPr/>
      </xdr:nvSpPr>
      <xdr:spPr>
        <a:xfrm>
          <a:off x="29633" y="1345144"/>
          <a:ext cx="1849967" cy="56832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47EAD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Informatique</a:t>
          </a:r>
        </a:p>
      </xdr:txBody>
    </xdr:sp>
    <xdr:clientData/>
  </xdr:twoCellAnchor>
  <xdr:twoCellAnchor>
    <xdr:from>
      <xdr:col>0</xdr:col>
      <xdr:colOff>33867</xdr:colOff>
      <xdr:row>9</xdr:row>
      <xdr:rowOff>65619</xdr:rowOff>
    </xdr:from>
    <xdr:to>
      <xdr:col>3</xdr:col>
      <xdr:colOff>55034</xdr:colOff>
      <xdr:row>12</xdr:row>
      <xdr:rowOff>33869</xdr:rowOff>
    </xdr:to>
    <xdr:sp macro="" textlink="">
      <xdr:nvSpPr>
        <xdr:cNvPr id="5" name="Rectangle : coins arrondis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AC5A66E2-157B-4855-AFA5-03445F83B1E4}"/>
            </a:ext>
          </a:extLst>
        </xdr:cNvPr>
        <xdr:cNvSpPr/>
      </xdr:nvSpPr>
      <xdr:spPr>
        <a:xfrm>
          <a:off x="33867" y="1970619"/>
          <a:ext cx="1849967" cy="56832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47EAD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Topographique</a:t>
          </a:r>
        </a:p>
      </xdr:txBody>
    </xdr:sp>
    <xdr:clientData/>
  </xdr:twoCellAnchor>
  <xdr:twoCellAnchor>
    <xdr:from>
      <xdr:col>0</xdr:col>
      <xdr:colOff>27517</xdr:colOff>
      <xdr:row>12</xdr:row>
      <xdr:rowOff>80437</xdr:rowOff>
    </xdr:from>
    <xdr:to>
      <xdr:col>3</xdr:col>
      <xdr:colOff>48684</xdr:colOff>
      <xdr:row>15</xdr:row>
      <xdr:rowOff>48687</xdr:rowOff>
    </xdr:to>
    <xdr:sp macro="" textlink="">
      <xdr:nvSpPr>
        <xdr:cNvPr id="6" name="Rectangle : coins arrondis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D52E3C7D-2B4E-49B7-A95B-16059972D728}"/>
            </a:ext>
          </a:extLst>
        </xdr:cNvPr>
        <xdr:cNvSpPr/>
      </xdr:nvSpPr>
      <xdr:spPr>
        <a:xfrm>
          <a:off x="27517" y="2585512"/>
          <a:ext cx="1849967" cy="56832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47EAD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Didactique</a:t>
          </a:r>
        </a:p>
      </xdr:txBody>
    </xdr:sp>
    <xdr:clientData/>
  </xdr:twoCellAnchor>
  <xdr:twoCellAnchor>
    <xdr:from>
      <xdr:col>0</xdr:col>
      <xdr:colOff>47625</xdr:colOff>
      <xdr:row>15</xdr:row>
      <xdr:rowOff>133350</xdr:rowOff>
    </xdr:from>
    <xdr:to>
      <xdr:col>3</xdr:col>
      <xdr:colOff>68792</xdr:colOff>
      <xdr:row>18</xdr:row>
      <xdr:rowOff>120650</xdr:rowOff>
    </xdr:to>
    <xdr:sp macro="" textlink="">
      <xdr:nvSpPr>
        <xdr:cNvPr id="7" name="Rectangle : coins arrondis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D52E3C7D-2B4E-49B7-A95B-16059972D728}"/>
            </a:ext>
          </a:extLst>
        </xdr:cNvPr>
        <xdr:cNvSpPr/>
      </xdr:nvSpPr>
      <xdr:spPr>
        <a:xfrm>
          <a:off x="47625" y="3238500"/>
          <a:ext cx="1849967" cy="568325"/>
        </a:xfrm>
        <a:prstGeom prst="roundRect">
          <a:avLst/>
        </a:prstGeom>
        <a:solidFill>
          <a:schemeClr val="accent1">
            <a:lumMod val="50000"/>
          </a:schemeClr>
        </a:solidFill>
        <a:ln>
          <a:solidFill>
            <a:srgbClr val="47EAD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Enie intervent</a:t>
          </a:r>
        </a:p>
      </xdr:txBody>
    </xdr:sp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technicien" sourceName="technicien">
  <extLst>
    <x:ext xmlns:x15="http://schemas.microsoft.com/office/spreadsheetml/2010/11/main" uri="{2F2917AC-EB37-4324-AD4E-5DD8C200BD13}">
      <x15:tableSlicerCache tableId="2" column="10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re_nre" sourceName="re/nre">
  <extLst>
    <x:ext xmlns:x15="http://schemas.microsoft.com/office/spreadsheetml/2010/11/main" uri="{2F2917AC-EB37-4324-AD4E-5DD8C200BD13}">
      <x15:tableSlicerCache tableId="2" column="15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technicien1" sourceName="technicien">
  <extLst>
    <x:ext xmlns:x15="http://schemas.microsoft.com/office/spreadsheetml/2010/11/main" uri="{2F2917AC-EB37-4324-AD4E-5DD8C200BD13}">
      <x15:tableSlicerCache tableId="4" column="10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re_nre1" sourceName="re/nre">
  <extLst>
    <x:ext xmlns:x15="http://schemas.microsoft.com/office/spreadsheetml/2010/11/main" uri="{2F2917AC-EB37-4324-AD4E-5DD8C200BD13}">
      <x15:tableSlicerCache tableId="4" column="15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technicien2" sourceName="technicien">
  <extLst>
    <x:ext xmlns:x15="http://schemas.microsoft.com/office/spreadsheetml/2010/11/main" uri="{2F2917AC-EB37-4324-AD4E-5DD8C200BD13}">
      <x15:tableSlicerCache tableId="5" column="10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re_nre2" sourceName="re/nre">
  <extLst>
    <x:ext xmlns:x15="http://schemas.microsoft.com/office/spreadsheetml/2010/11/main" uri="{2F2917AC-EB37-4324-AD4E-5DD8C200BD13}">
      <x15:tableSlicerCache tableId="5" column="15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etablisement" sourceName="etablisement ">
  <extLst>
    <x:ext xmlns:x15="http://schemas.microsoft.com/office/spreadsheetml/2010/11/main" uri="{2F2917AC-EB37-4324-AD4E-5DD8C200BD13}">
      <x15:tableSlicerCache tableId="2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technicien" cache="Segment_technicien" caption="technicien" style="SlicerStyleLight1 2" rowHeight="241300"/>
  <slicer name="re/nre" cache="Segment_re_nre" caption="re/nre" style="SlicerStyleLight1 2" rowHeight="241300"/>
  <slicer name="technicien 1" cache="Segment_technicien1" caption="technicien" style="SlicerStyleLight1 2" rowHeight="241300"/>
  <slicer name="re/nre 1" cache="Segment_re_nre1" caption="re/nre" style="SlicerStyleLight1 2" rowHeight="241300"/>
  <slicer name="technicien 2" cache="Segment_technicien2" caption="technicien" style="SlicerStyleLight1 2" rowHeight="241300"/>
  <slicer name="re/nre 2" cache="Segment_re_nre2" caption="re/nre" style="SlicerStyleLight1 2" rowHeight="241300"/>
  <slicer name="etablisement " cache="Segment_etablisement" caption="etablisement " startItem="7" style="SlicerStyleLight1 2" rowHeight="241300"/>
</slicers>
</file>

<file path=xl/tables/table1.xml><?xml version="1.0" encoding="utf-8"?>
<table xmlns="http://schemas.openxmlformats.org/spreadsheetml/2006/main" id="1" name="Tableau1" displayName="Tableau1" ref="E5:O17" totalsRowCount="1" headerRowDxfId="112" dataDxfId="110" headerRowBorderDxfId="111" tableBorderDxfId="109" totalsRowBorderDxfId="108">
  <autoFilter ref="E5:O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nom technicien " dataDxfId="107" totalsRowDxfId="106"/>
    <tableColumn id="2" name="wilya" dataDxfId="105" totalsRowDxfId="104"/>
    <tableColumn id="11" name="nbr" totalsRowFunction="sum" dataDxfId="103" totalsRowDxfId="102"/>
    <tableColumn id="3" name="ep" dataDxfId="101" totalsRowDxfId="100"/>
    <tableColumn id="4" name="cem" dataDxfId="99" totalsRowDxfId="98"/>
    <tableColumn id="5" name="lycee" dataDxfId="97" totalsRowDxfId="96"/>
    <tableColumn id="6" name="directio" dataDxfId="95" totalsRowDxfId="94"/>
    <tableColumn id="7" name="pdr " dataDxfId="93" totalsRowDxfId="92"/>
    <tableColumn id="8" name="e/infortq" dataDxfId="91" totalsRowDxfId="90"/>
    <tableColumn id="9" name="e/topo" dataDxfId="89" totalsRowDxfId="88"/>
    <tableColumn id="10" name="e/dida" dataDxfId="87" totalsRowDxfId="86"/>
  </tableColumns>
  <tableStyleInfo name="Style de tableau 1" showFirstColumn="0" showLastColumn="0" showRowStripes="1" showColumnStripes="0"/>
</table>
</file>

<file path=xl/tables/table2.xml><?xml version="1.0" encoding="utf-8"?>
<table xmlns="http://schemas.openxmlformats.org/spreadsheetml/2006/main" id="2" name="Tableau2" displayName="Tableau2" ref="E5:W61" totalsRowCount="1">
  <autoFilter ref="E5:W6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>
      <filters>
        <filter val="ghaout mohamed"/>
      </filters>
    </filterColumn>
    <filterColumn colId="10" hiddenButton="1"/>
    <filterColumn colId="11" hiddenButton="1"/>
    <filterColumn colId="12" hiddenButton="1"/>
    <filterColumn colId="13" hiddenButton="1"/>
    <filterColumn colId="14" hiddenButton="1">
      <filters>
        <filter val="non"/>
      </filters>
    </filterColumn>
    <filterColumn colId="15" hiddenButton="1"/>
    <filterColumn colId="16" hiddenButton="1"/>
    <filterColumn colId="17" hiddenButton="1"/>
    <filterColumn colId="18" hiddenButton="1"/>
  </autoFilter>
  <tableColumns count="19">
    <tableColumn id="1" name="equipement "/>
    <tableColumn id="2" name="marque "/>
    <tableColumn id="3" name="inventaire "/>
    <tableColumn id="4" name="n serie" dataDxfId="85"/>
    <tableColumn id="5" name="etablisement "/>
    <tableColumn id="6" name="wilaya "/>
    <tableColumn id="7" name="commune"/>
    <tableColumn id="8" name=" date recp" dataDxfId="84" totalsRowDxfId="83"/>
    <tableColumn id="9" name="panne"/>
    <tableColumn id="10" name="technicien"/>
    <tableColumn id="11" name="operation"/>
    <tableColumn id="12" name="pdr"/>
    <tableColumn id="13" name="reference"/>
    <tableColumn id="14" name="qt" dataDxfId="82" totalsRowDxfId="81"/>
    <tableColumn id="15" name="re/nre"/>
    <tableColumn id="20" name="date env"/>
    <tableColumn id="16" name="rec" totalsRowFunction="sum" totalsRowDxfId="80"/>
    <tableColumn id="17" name="re" totalsRowFunction="sum" totalsRowDxfId="79"/>
    <tableColumn id="18" name="nr" totalsRowFunction="sum" totalsRowDxfId="78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3" name="Tableau24" displayName="Tableau24" ref="E69:W74" totalsRowCount="1">
  <autoFilter ref="E69:W7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name="equipement "/>
    <tableColumn id="2" name="marque "/>
    <tableColumn id="3" name="inventaire "/>
    <tableColumn id="4" name="n serie"/>
    <tableColumn id="5" name="etablisement "/>
    <tableColumn id="6" name="wilaya "/>
    <tableColumn id="7" name="commune"/>
    <tableColumn id="8" name=" date recp" dataDxfId="77" totalsRowDxfId="76"/>
    <tableColumn id="9" name="panne"/>
    <tableColumn id="10" name="technicien"/>
    <tableColumn id="11" name="operation"/>
    <tableColumn id="12" name="pdr"/>
    <tableColumn id="13" name="reference"/>
    <tableColumn id="14" name="qt" dataDxfId="75" totalsRowDxfId="74"/>
    <tableColumn id="15" name="re/nre"/>
    <tableColumn id="20" name="date env"/>
    <tableColumn id="16" name="rec" totalsRowFunction="sum" totalsRowDxfId="73"/>
    <tableColumn id="17" name="re" totalsRowFunction="sum" totalsRowDxfId="72"/>
    <tableColumn id="18" name="nr" totalsRowFunction="sum" totalsRowDxfId="71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id="4" name="Tableau245" displayName="Tableau245" ref="E79:W85" totalsRowCount="1">
  <autoFilter ref="E79:W8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>
      <filters>
        <filter val="ghaout mohamed"/>
      </filters>
    </filterColumn>
    <filterColumn colId="10" hiddenButton="1"/>
    <filterColumn colId="11" hiddenButton="1"/>
    <filterColumn colId="12" hiddenButton="1"/>
    <filterColumn colId="13" hiddenButton="1"/>
    <filterColumn colId="14" hiddenButton="1">
      <filters>
        <filter val="non"/>
      </filters>
    </filterColumn>
    <filterColumn colId="15" hiddenButton="1"/>
    <filterColumn colId="16" hiddenButton="1"/>
    <filterColumn colId="17" hiddenButton="1"/>
    <filterColumn colId="18" hiddenButton="1"/>
  </autoFilter>
  <tableColumns count="19">
    <tableColumn id="1" name="equipement "/>
    <tableColumn id="2" name="marque "/>
    <tableColumn id="3" name="inventaire "/>
    <tableColumn id="4" name="n serie"/>
    <tableColumn id="5" name="etablisement "/>
    <tableColumn id="6" name="wilaya "/>
    <tableColumn id="7" name="commune"/>
    <tableColumn id="8" name=" date recp" dataDxfId="70" totalsRowDxfId="69"/>
    <tableColumn id="9" name="panne"/>
    <tableColumn id="10" name="technicien"/>
    <tableColumn id="11" name="operation"/>
    <tableColumn id="12" name="pdr"/>
    <tableColumn id="13" name="reference"/>
    <tableColumn id="14" name="qt" dataDxfId="68" totalsRowDxfId="67"/>
    <tableColumn id="15" name="re/nre"/>
    <tableColumn id="20" name="date env"/>
    <tableColumn id="16" name="rec" totalsRowFunction="sum" totalsRowDxfId="66"/>
    <tableColumn id="17" name="re" totalsRowFunction="sum" totalsRowDxfId="65"/>
    <tableColumn id="18" name="nr" totalsRowFunction="sum" totalsRowDxfId="64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id="5" name="Tableau2456" displayName="Tableau2456" ref="E90:W104" totalsRowCount="1">
  <autoFilter ref="E90:W10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>
      <filters>
        <filter val="ghaout mohamed"/>
      </filters>
    </filterColumn>
    <filterColumn colId="10" hiddenButton="1"/>
    <filterColumn colId="11" hiddenButton="1"/>
    <filterColumn colId="12" hiddenButton="1"/>
    <filterColumn colId="13" hiddenButton="1"/>
    <filterColumn colId="14" hiddenButton="1">
      <filters>
        <filter val="non"/>
      </filters>
    </filterColumn>
    <filterColumn colId="15" hiddenButton="1"/>
    <filterColumn colId="16" hiddenButton="1"/>
    <filterColumn colId="17" hiddenButton="1"/>
    <filterColumn colId="18" hiddenButton="1"/>
  </autoFilter>
  <tableColumns count="19">
    <tableColumn id="1" name="equipement "/>
    <tableColumn id="2" name="marque "/>
    <tableColumn id="3" name="inventaire "/>
    <tableColumn id="4" name="n serie"/>
    <tableColumn id="5" name="etablisement "/>
    <tableColumn id="6" name="wilaya "/>
    <tableColumn id="7" name="commune"/>
    <tableColumn id="8" name=" date recp" dataDxfId="63" totalsRowDxfId="62"/>
    <tableColumn id="9" name="panne"/>
    <tableColumn id="10" name="technicien"/>
    <tableColumn id="11" name="operation"/>
    <tableColumn id="12" name="pdr"/>
    <tableColumn id="13" name="reference"/>
    <tableColumn id="14" name="qt" dataDxfId="61" totalsRowDxfId="60"/>
    <tableColumn id="15" name="re/nre"/>
    <tableColumn id="20" name="date env"/>
    <tableColumn id="16" name="rec" totalsRowFunction="sum" totalsRowDxfId="59"/>
    <tableColumn id="17" name="re" totalsRowFunction="sum" totalsRowDxfId="58"/>
    <tableColumn id="18" name="nr" totalsRowFunction="sum" totalsRowDxfId="57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id="6" name="Tableau27" displayName="Tableau27" ref="E5:W10" totalsRowCount="1" headerRowDxfId="56">
  <autoFilter ref="E5:W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name="equipement "/>
    <tableColumn id="2" name="marque "/>
    <tableColumn id="3" name="inventaire "/>
    <tableColumn id="4" name="n serie"/>
    <tableColumn id="5" name="etablisement "/>
    <tableColumn id="6" name="wilaya "/>
    <tableColumn id="7" name="commune"/>
    <tableColumn id="8" name=" date recp" dataDxfId="55" totalsRowDxfId="19"/>
    <tableColumn id="9" name="panne"/>
    <tableColumn id="10" name="technicien"/>
    <tableColumn id="11" name="operation"/>
    <tableColumn id="12" name="pdr"/>
    <tableColumn id="13" name="reference"/>
    <tableColumn id="14" name="qt"/>
    <tableColumn id="15" name="re/nre"/>
    <tableColumn id="20" name="date env"/>
    <tableColumn id="16" name="rec" totalsRowFunction="sum" totalsRowDxfId="18"/>
    <tableColumn id="17" name="re" totalsRowFunction="sum" totalsRowDxfId="17"/>
    <tableColumn id="18" name="nr" totalsRowFunction="sum" totalsRowDxfId="16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id="7" name="Tableau248" displayName="Tableau248" ref="E18:W23" totalsRowCount="1">
  <autoFilter ref="E18:W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name="equipement "/>
    <tableColumn id="2" name="marque "/>
    <tableColumn id="3" name="inventaire "/>
    <tableColumn id="4" name="n serie"/>
    <tableColumn id="5" name="etablisement "/>
    <tableColumn id="6" name="wilaya "/>
    <tableColumn id="7" name="commune"/>
    <tableColumn id="8" name=" date recp" dataDxfId="54" totalsRowDxfId="15"/>
    <tableColumn id="9" name="panne"/>
    <tableColumn id="10" name="technicien"/>
    <tableColumn id="11" name="operation"/>
    <tableColumn id="12" name="pdr"/>
    <tableColumn id="13" name="reference"/>
    <tableColumn id="14" name="qt"/>
    <tableColumn id="15" name="re/nre"/>
    <tableColumn id="20" name="date env"/>
    <tableColumn id="16" name="rec" totalsRowFunction="sum" totalsRowDxfId="14"/>
    <tableColumn id="17" name="re" totalsRowFunction="sum" totalsRowDxfId="13"/>
    <tableColumn id="18" name="nr" totalsRowFunction="sum" totalsRowDxfId="12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id="8" name="Tableau2459" displayName="Tableau2459" ref="E28:W33" totalsRowCount="1">
  <autoFilter ref="E28:W3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name="equipement "/>
    <tableColumn id="2" name="marque "/>
    <tableColumn id="3" name="inventaire "/>
    <tableColumn id="4" name="n serie"/>
    <tableColumn id="5" name="etablisement "/>
    <tableColumn id="6" name="wilaya "/>
    <tableColumn id="7" name="commune"/>
    <tableColumn id="8" name=" date recp" dataDxfId="53" totalsRowDxfId="11"/>
    <tableColumn id="9" name="panne"/>
    <tableColumn id="10" name="technicien"/>
    <tableColumn id="11" name="operation"/>
    <tableColumn id="12" name="pdr"/>
    <tableColumn id="13" name="reference"/>
    <tableColumn id="14" name="qt"/>
    <tableColumn id="15" name="re/nre"/>
    <tableColumn id="20" name="date env"/>
    <tableColumn id="16" name="rec" totalsRowFunction="sum" totalsRowDxfId="10"/>
    <tableColumn id="17" name="re" totalsRowFunction="sum" totalsRowDxfId="9"/>
    <tableColumn id="18" name="nr" totalsRowFunction="sum" totalsRowDxfId="8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id="9" name="Tableau245610" displayName="Tableau245610" ref="E38:W45" totalsRowCount="1">
  <autoFilter ref="E38:W4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name="equipement "/>
    <tableColumn id="2" name="marque "/>
    <tableColumn id="3" name="inventaire "/>
    <tableColumn id="4" name="n serie"/>
    <tableColumn id="5" name="etablisement "/>
    <tableColumn id="6" name="wilaya "/>
    <tableColumn id="7" name="commune"/>
    <tableColumn id="8" name=" date recp" dataDxfId="52" totalsRowDxfId="7"/>
    <tableColumn id="9" name="panne"/>
    <tableColumn id="10" name="technicien"/>
    <tableColumn id="11" name="operation"/>
    <tableColumn id="12" name="pdr"/>
    <tableColumn id="13" name="reference"/>
    <tableColumn id="14" name="qt"/>
    <tableColumn id="15" name="re/nre"/>
    <tableColumn id="20" name="date env"/>
    <tableColumn id="16" name="rec" totalsRowFunction="sum" totalsRowDxfId="6"/>
    <tableColumn id="17" name="re" totalsRowFunction="sum" totalsRowDxfId="5"/>
    <tableColumn id="18" name="nr" totalsRowFunction="sum" totalsRowDxfId="4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id="10" name="Tableau211" displayName="Tableau211" ref="E5:W10" totalsRowCount="1">
  <autoFilter ref="E5:W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name="equipement "/>
    <tableColumn id="2" name="marque "/>
    <tableColumn id="3" name="inventaire "/>
    <tableColumn id="4" name="n serie"/>
    <tableColumn id="5" name="etablisement "/>
    <tableColumn id="6" name="wilaya "/>
    <tableColumn id="7" name="commune"/>
    <tableColumn id="8" name=" date recp" dataDxfId="51" totalsRowDxfId="50"/>
    <tableColumn id="9" name="panne"/>
    <tableColumn id="10" name="technicien"/>
    <tableColumn id="11" name="operation"/>
    <tableColumn id="12" name="pdr"/>
    <tableColumn id="13" name="reference"/>
    <tableColumn id="14" name="qt"/>
    <tableColumn id="15" name="re/nre"/>
    <tableColumn id="20" name="date env"/>
    <tableColumn id="16" name="rec" totalsRowFunction="sum" totalsRowDxfId="49"/>
    <tableColumn id="17" name="re" totalsRowFunction="sum" totalsRowDxfId="48"/>
    <tableColumn id="18" name="nr" totalsRowFunction="sum" totalsRowDxfId="47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id="11" name="Tableau2412" displayName="Tableau2412" ref="E18:W23" totalsRowCount="1">
  <autoFilter ref="E18:W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name="equipement "/>
    <tableColumn id="2" name="marque "/>
    <tableColumn id="3" name="inventaire "/>
    <tableColumn id="4" name="n serie"/>
    <tableColumn id="5" name="etablisement "/>
    <tableColumn id="6" name="wilaya "/>
    <tableColumn id="7" name="commune"/>
    <tableColumn id="8" name=" date recp" dataDxfId="46" totalsRowDxfId="3"/>
    <tableColumn id="9" name="panne"/>
    <tableColumn id="10" name="technicien"/>
    <tableColumn id="11" name="operation"/>
    <tableColumn id="12" name="pdr"/>
    <tableColumn id="13" name="reference"/>
    <tableColumn id="14" name="qt"/>
    <tableColumn id="15" name="re/nre"/>
    <tableColumn id="20" name="date env"/>
    <tableColumn id="16" name="rec" totalsRowFunction="sum" totalsRowDxfId="2"/>
    <tableColumn id="17" name="re" totalsRowFunction="sum" totalsRowDxfId="1"/>
    <tableColumn id="18" name="nr" totalsRowFunction="sum" totalsRowDxfId="0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id="12" name="Tableau24513" displayName="Tableau24513" ref="E28:W37" totalsRowCount="1">
  <autoFilter ref="E28:W3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name="equipement "/>
    <tableColumn id="2" name="marque "/>
    <tableColumn id="3" name="inventaire "/>
    <tableColumn id="4" name="n serie"/>
    <tableColumn id="5" name="etablisement "/>
    <tableColumn id="6" name="wilaya "/>
    <tableColumn id="7" name="commune"/>
    <tableColumn id="8" name=" date recp" dataDxfId="45" totalsRowDxfId="44"/>
    <tableColumn id="9" name="panne"/>
    <tableColumn id="10" name="technicien"/>
    <tableColumn id="11" name="operation"/>
    <tableColumn id="12" name="pdr"/>
    <tableColumn id="13" name="reference"/>
    <tableColumn id="14" name="qt"/>
    <tableColumn id="15" name="re/nre"/>
    <tableColumn id="20" name="date env"/>
    <tableColumn id="16" name="rec" totalsRowFunction="sum" totalsRowDxfId="43"/>
    <tableColumn id="17" name="re" totalsRowFunction="sum" totalsRowDxfId="42"/>
    <tableColumn id="18" name="nr" totalsRowFunction="sum" totalsRowDxfId="41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id="13" name="Tableau245614" displayName="Tableau245614" ref="E42:W47" totalsRowCount="1">
  <autoFilter ref="E42:W4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name="equipement "/>
    <tableColumn id="2" name="marque "/>
    <tableColumn id="3" name="inventaire "/>
    <tableColumn id="4" name="n serie"/>
    <tableColumn id="5" name="etablisement "/>
    <tableColumn id="6" name="wilaya "/>
    <tableColumn id="7" name="commune"/>
    <tableColumn id="8" name=" date recp" dataDxfId="40" totalsRowDxfId="39"/>
    <tableColumn id="9" name="panne"/>
    <tableColumn id="10" name="technicien"/>
    <tableColumn id="11" name="operation"/>
    <tableColumn id="12" name="pdr"/>
    <tableColumn id="13" name="reference"/>
    <tableColumn id="14" name="qt"/>
    <tableColumn id="15" name="re/nre"/>
    <tableColumn id="20" name="date env"/>
    <tableColumn id="16" name="rec" totalsRowFunction="sum" totalsRowDxfId="38"/>
    <tableColumn id="17" name="re" totalsRowFunction="sum" totalsRowDxfId="37"/>
    <tableColumn id="18" name="nr" totalsRowFunction="sum" totalsRowDxfId="36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id="14" name="Tableau115" displayName="Tableau115" ref="E5:O24" totalsRowShown="0" headerRowDxfId="35" dataDxfId="33" headerRowBorderDxfId="34" tableBorderDxfId="32" totalsRowBorderDxfId="31">
  <autoFilter ref="E5:O2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etablisement" dataDxfId="30"/>
    <tableColumn id="2" name="marchee" dataDxfId="29"/>
    <tableColumn id="3" name="model" dataDxfId="28"/>
    <tableColumn id="4" name="n serie " dataDxfId="27"/>
    <tableColumn id="11" name="date" dataDxfId="26"/>
    <tableColumn id="5" name="panne signales" dataDxfId="25"/>
    <tableColumn id="6" name="defau constate" dataDxfId="24"/>
    <tableColumn id="7" name="tache efectuees" dataDxfId="23"/>
    <tableColumn id="8" name="pdr  remplace" dataDxfId="22"/>
    <tableColumn id="9" name="reference" dataDxfId="21"/>
    <tableColumn id="10" name="qt" dataDxfId="20"/>
  </tableColumns>
  <tableStyleInfo name="Style de tableau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otal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70AD47"/>
      </a:accent2>
      <a:accent3>
        <a:srgbClr val="FF0000"/>
      </a:accent3>
      <a:accent4>
        <a:srgbClr val="FFFFFF"/>
      </a:accent4>
      <a:accent5>
        <a:srgbClr val="FFFFFF"/>
      </a:accent5>
      <a:accent6>
        <a:srgbClr val="FFFFFF"/>
      </a:accent6>
      <a:hlink>
        <a:srgbClr val="FFFFFF"/>
      </a:hlink>
      <a:folHlink>
        <a:srgbClr val="FFFFFF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5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showGridLines="0" topLeftCell="A10" workbookViewId="0">
      <selection activeCell="R19" sqref="R19"/>
    </sheetView>
  </sheetViews>
  <sheetFormatPr baseColWidth="10" defaultColWidth="9.140625" defaultRowHeight="15" x14ac:dyDescent="0.25"/>
  <cols>
    <col min="1" max="1" width="7.7109375" style="26" customWidth="1"/>
    <col min="2" max="3" width="5.85546875" style="26" customWidth="1"/>
    <col min="4" max="4" width="7.140625" style="7" customWidth="1"/>
    <col min="5" max="5" width="7.85546875" style="7" customWidth="1"/>
    <col min="6" max="9" width="9.5703125" customWidth="1"/>
    <col min="10" max="10" width="14.42578125" customWidth="1"/>
    <col min="11" max="11" width="5.85546875" customWidth="1"/>
    <col min="12" max="12" width="8" customWidth="1"/>
  </cols>
  <sheetData>
    <row r="1" spans="1:15" s="7" customFormat="1" x14ac:dyDescent="0.25">
      <c r="A1" s="26"/>
      <c r="B1" s="26"/>
      <c r="C1" s="26"/>
    </row>
    <row r="2" spans="1:15" s="7" customFormat="1" ht="19.5" customHeight="1" x14ac:dyDescent="0.25">
      <c r="A2" s="26"/>
      <c r="B2" s="26"/>
      <c r="C2" s="26"/>
    </row>
    <row r="3" spans="1:15" ht="15.75" x14ac:dyDescent="0.25">
      <c r="M3" s="54" t="s">
        <v>86</v>
      </c>
      <c r="N3" s="54"/>
    </row>
    <row r="4" spans="1:15" ht="15.75" x14ac:dyDescent="0.25">
      <c r="F4" s="37" t="s">
        <v>76</v>
      </c>
      <c r="M4" s="47" t="s">
        <v>63</v>
      </c>
      <c r="N4" s="47" t="s">
        <v>78</v>
      </c>
      <c r="O4" s="47" t="s">
        <v>79</v>
      </c>
    </row>
    <row r="5" spans="1:15" ht="18.75" x14ac:dyDescent="0.3">
      <c r="E5" s="53" t="s">
        <v>72</v>
      </c>
      <c r="F5" s="36">
        <f>Informatique!J1+Topograpique!J1+Didactique!J1</f>
        <v>27</v>
      </c>
      <c r="G5" s="38"/>
      <c r="L5" s="51" t="s">
        <v>80</v>
      </c>
      <c r="M5" s="40">
        <f>Informatique!J1</f>
        <v>5</v>
      </c>
      <c r="N5" s="43">
        <f>Informatique!K1</f>
        <v>0</v>
      </c>
      <c r="O5" s="44">
        <f>Informatique!L1</f>
        <v>5</v>
      </c>
    </row>
    <row r="6" spans="1:15" ht="18.75" x14ac:dyDescent="0.3">
      <c r="E6" s="53" t="s">
        <v>73</v>
      </c>
      <c r="F6" s="39">
        <f>Informatique!K1+Topograpique!K1+Didactique!K1</f>
        <v>17</v>
      </c>
      <c r="G6" s="38"/>
      <c r="L6" s="51" t="s">
        <v>81</v>
      </c>
      <c r="M6" s="41">
        <f>Topograpique!J1</f>
        <v>13</v>
      </c>
      <c r="N6" s="50">
        <f>Topograpique!K1</f>
        <v>8</v>
      </c>
      <c r="O6" s="45">
        <f>Topograpique!L1</f>
        <v>5</v>
      </c>
    </row>
    <row r="7" spans="1:15" ht="18.75" x14ac:dyDescent="0.3">
      <c r="E7" s="53" t="s">
        <v>77</v>
      </c>
      <c r="F7" s="48">
        <f>Informatique!L1+Topograpique!L1+Didactique!L1</f>
        <v>10</v>
      </c>
      <c r="G7" s="38"/>
      <c r="L7" s="51" t="s">
        <v>82</v>
      </c>
      <c r="M7" s="42">
        <f>Didactique!J1</f>
        <v>9</v>
      </c>
      <c r="N7" s="49">
        <f>Didactique!K1</f>
        <v>9</v>
      </c>
      <c r="O7" s="52">
        <f>Didactique!L1</f>
        <v>0</v>
      </c>
    </row>
    <row r="25" spans="6:9" x14ac:dyDescent="0.25">
      <c r="G25" s="46" t="s">
        <v>63</v>
      </c>
      <c r="H25" s="46" t="s">
        <v>78</v>
      </c>
      <c r="I25" s="46" t="s">
        <v>85</v>
      </c>
    </row>
    <row r="26" spans="6:9" ht="15.75" x14ac:dyDescent="0.25">
      <c r="F26" s="55" t="s">
        <v>2</v>
      </c>
      <c r="G26" s="62">
        <f>Tableau2[[#Totals],[rec]]+Tableau27[[#Totals],[rec]]+Tableau211[[#Totals],[rec]]</f>
        <v>5</v>
      </c>
      <c r="H26" s="62">
        <f>Tableau2[[#Totals],[re]]+Tableau27[[#Totals],[re]]+Tableau211[[#Totals],[re]]</f>
        <v>2</v>
      </c>
      <c r="I26" s="62">
        <f>Tableau2[[#Totals],[nr]]+Tableau27[[#Totals],[nr]]+Tableau211[[#Totals],[nr]]</f>
        <v>3</v>
      </c>
    </row>
    <row r="27" spans="6:9" ht="15.75" x14ac:dyDescent="0.25">
      <c r="F27" s="55" t="s">
        <v>3</v>
      </c>
      <c r="G27" s="63">
        <f>Tableau24[[#Totals],[rec]]+Tableau248[[#Totals],[rec]]+Tableau2412[[#Totals],[rec]]</f>
        <v>3</v>
      </c>
      <c r="H27" s="63">
        <f>Tableau24[[#Totals],[re]]+Tableau248[[#Totals],[re]]+Tableau2412[[#Totals],[re]]</f>
        <v>2</v>
      </c>
      <c r="I27" s="63">
        <f>Tableau24[[#Totals],[nr]]+Tableau248[[#Totals],[nr]]+Tableau2412[[#Totals],[nr]]</f>
        <v>1</v>
      </c>
    </row>
    <row r="28" spans="6:9" ht="15.75" x14ac:dyDescent="0.25">
      <c r="F28" s="55" t="s">
        <v>83</v>
      </c>
      <c r="G28" s="64">
        <f>Tableau245[[#Totals],[rec]]+Tableau2459[[#Totals],[rec]]+Tableau24513[[#Totals],[rec]]</f>
        <v>13</v>
      </c>
      <c r="H28" s="64">
        <f>Tableau245[[#Totals],[re]]+Tableau2459[[#Totals],[re]]+Tableau24513[[#Totals],[re]]</f>
        <v>9</v>
      </c>
      <c r="I28" s="64">
        <f>Tableau245[[#Totals],[nr]]+Tableau2459[[#Totals],[nr]]+Tableau24513[[#Totals],[nr]]</f>
        <v>4</v>
      </c>
    </row>
    <row r="29" spans="6:9" ht="15.75" x14ac:dyDescent="0.25">
      <c r="F29" s="55" t="s">
        <v>84</v>
      </c>
      <c r="G29" s="65">
        <f>Tableau2456[[#Totals],[rec]]+Tableau245610[[#Totals],[rec]]+Tableau245614[[#Totals],[rec]]</f>
        <v>6</v>
      </c>
      <c r="H29" s="65">
        <f>Tableau2456[[#Totals],[re]]+Tableau245610[[#Totals],[re]]+Tableau245614[[#Totals],[re]]</f>
        <v>4</v>
      </c>
      <c r="I29" s="65">
        <f>Tableau2456[[#Totals],[nr]]+Tableau245610[[#Totals],[nr]]+Tableau245614[[#Totals],[nr]]</f>
        <v>2</v>
      </c>
    </row>
    <row r="30" spans="6:9" ht="15.75" x14ac:dyDescent="0.25">
      <c r="F30" s="55" t="s">
        <v>75</v>
      </c>
      <c r="G30" s="56">
        <f>SUM(G26:G29)</f>
        <v>27</v>
      </c>
      <c r="H30" s="56">
        <f t="shared" ref="H30:I30" si="0">SUM(H26:H29)</f>
        <v>17</v>
      </c>
      <c r="I30" s="56">
        <f t="shared" si="0"/>
        <v>10</v>
      </c>
    </row>
  </sheetData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1A09B"/>
  </sheetPr>
  <dimension ref="A1:O17"/>
  <sheetViews>
    <sheetView showGridLines="0" zoomScale="90" zoomScaleNormal="90" workbookViewId="0">
      <selection activeCell="H22" sqref="H22"/>
    </sheetView>
  </sheetViews>
  <sheetFormatPr baseColWidth="10" defaultColWidth="9.140625" defaultRowHeight="15" x14ac:dyDescent="0.25"/>
  <cols>
    <col min="1" max="3" width="9.140625" style="10"/>
    <col min="5" max="5" width="21.140625" customWidth="1"/>
    <col min="6" max="6" width="12.140625" customWidth="1"/>
    <col min="7" max="7" width="5.85546875" customWidth="1"/>
    <col min="8" max="8" width="20.85546875" customWidth="1"/>
    <col min="9" max="9" width="17.140625" customWidth="1"/>
    <col min="10" max="10" width="19.42578125" customWidth="1"/>
    <col min="11" max="11" width="12" customWidth="1"/>
    <col min="12" max="12" width="18.140625" customWidth="1"/>
    <col min="13" max="13" width="12.85546875" customWidth="1"/>
    <col min="14" max="14" width="13.5703125" customWidth="1"/>
    <col min="15" max="15" width="20.7109375" customWidth="1"/>
  </cols>
  <sheetData>
    <row r="1" spans="5:15" ht="18.75" customHeight="1" x14ac:dyDescent="0.25"/>
    <row r="2" spans="5:15" ht="18" customHeight="1" x14ac:dyDescent="0.25">
      <c r="E2" s="96" t="s">
        <v>71</v>
      </c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5:15" ht="15.75" customHeight="1" thickBot="1" x14ac:dyDescent="0.3"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</row>
    <row r="4" spans="5:15" ht="15.75" thickTop="1" x14ac:dyDescent="0.25"/>
    <row r="5" spans="5:15" ht="18.75" x14ac:dyDescent="0.25">
      <c r="E5" s="18" t="s">
        <v>0</v>
      </c>
      <c r="F5" s="19" t="s">
        <v>1</v>
      </c>
      <c r="G5" s="19" t="s">
        <v>306</v>
      </c>
      <c r="H5" s="19" t="s">
        <v>2</v>
      </c>
      <c r="I5" s="19" t="s">
        <v>3</v>
      </c>
      <c r="J5" s="19" t="s">
        <v>4</v>
      </c>
      <c r="K5" s="19" t="s">
        <v>5</v>
      </c>
      <c r="L5" s="20" t="s">
        <v>6</v>
      </c>
      <c r="M5" s="19" t="s">
        <v>27</v>
      </c>
      <c r="N5" s="19" t="s">
        <v>33</v>
      </c>
      <c r="O5" s="19" t="s">
        <v>36</v>
      </c>
    </row>
    <row r="6" spans="5:15" ht="15.75" x14ac:dyDescent="0.25">
      <c r="E6" s="11" t="s">
        <v>7</v>
      </c>
      <c r="F6" s="12" t="s">
        <v>15</v>
      </c>
      <c r="G6" s="12">
        <v>1</v>
      </c>
      <c r="H6" s="12" t="s">
        <v>89</v>
      </c>
      <c r="I6" s="12" t="s">
        <v>189</v>
      </c>
      <c r="J6" s="12" t="s">
        <v>91</v>
      </c>
      <c r="K6" s="12" t="s">
        <v>26</v>
      </c>
      <c r="L6" s="13" t="s">
        <v>19</v>
      </c>
      <c r="M6" s="14" t="s">
        <v>28</v>
      </c>
      <c r="N6" s="14" t="s">
        <v>34</v>
      </c>
      <c r="O6" s="14" t="s">
        <v>37</v>
      </c>
    </row>
    <row r="7" spans="5:15" ht="15.75" x14ac:dyDescent="0.25">
      <c r="E7" s="11" t="s">
        <v>8</v>
      </c>
      <c r="F7" s="12" t="s">
        <v>16</v>
      </c>
      <c r="G7" s="12">
        <v>1</v>
      </c>
      <c r="H7" s="12" t="s">
        <v>90</v>
      </c>
      <c r="I7" s="12"/>
      <c r="J7" s="12" t="s">
        <v>176</v>
      </c>
      <c r="K7" s="12" t="s">
        <v>70</v>
      </c>
      <c r="L7" s="13" t="s">
        <v>20</v>
      </c>
      <c r="M7" s="12" t="s">
        <v>29</v>
      </c>
      <c r="N7" s="12" t="s">
        <v>35</v>
      </c>
      <c r="O7" s="12" t="s">
        <v>38</v>
      </c>
    </row>
    <row r="8" spans="5:15" ht="15.75" x14ac:dyDescent="0.25">
      <c r="E8" s="11" t="s">
        <v>9</v>
      </c>
      <c r="F8" s="12" t="s">
        <v>17</v>
      </c>
      <c r="G8" s="12">
        <v>1</v>
      </c>
      <c r="H8" s="12" t="s">
        <v>171</v>
      </c>
      <c r="I8" s="12"/>
      <c r="J8" s="12"/>
      <c r="K8" s="12"/>
      <c r="L8" s="13" t="s">
        <v>21</v>
      </c>
      <c r="M8" s="12" t="s">
        <v>30</v>
      </c>
      <c r="N8" s="12"/>
      <c r="O8" s="12" t="s">
        <v>39</v>
      </c>
    </row>
    <row r="9" spans="5:15" ht="15.75" x14ac:dyDescent="0.25">
      <c r="E9" s="11" t="s">
        <v>10</v>
      </c>
      <c r="F9" s="12" t="s">
        <v>18</v>
      </c>
      <c r="G9" s="12">
        <v>1</v>
      </c>
      <c r="H9" s="12" t="s">
        <v>92</v>
      </c>
      <c r="I9" s="12"/>
      <c r="J9" s="12"/>
      <c r="K9" s="12"/>
      <c r="L9" s="13" t="s">
        <v>22</v>
      </c>
      <c r="M9" s="12" t="s">
        <v>31</v>
      </c>
      <c r="N9" s="12"/>
      <c r="O9" s="12" t="s">
        <v>40</v>
      </c>
    </row>
    <row r="10" spans="5:15" ht="15.75" x14ac:dyDescent="0.25">
      <c r="E10" s="11" t="s">
        <v>11</v>
      </c>
      <c r="F10" s="12"/>
      <c r="G10" s="12">
        <v>1</v>
      </c>
      <c r="H10" s="12" t="s">
        <v>93</v>
      </c>
      <c r="I10" s="12"/>
      <c r="J10" s="12"/>
      <c r="K10" s="12"/>
      <c r="L10" s="13" t="s">
        <v>23</v>
      </c>
      <c r="M10" s="12" t="s">
        <v>32</v>
      </c>
      <c r="N10" s="12"/>
      <c r="O10" s="12" t="s">
        <v>41</v>
      </c>
    </row>
    <row r="11" spans="5:15" ht="15.75" x14ac:dyDescent="0.25">
      <c r="E11" s="11" t="s">
        <v>12</v>
      </c>
      <c r="F11" s="12"/>
      <c r="G11" s="12">
        <v>1</v>
      </c>
      <c r="H11" s="12" t="s">
        <v>94</v>
      </c>
      <c r="I11" s="12"/>
      <c r="J11" s="12"/>
      <c r="K11" s="12"/>
      <c r="L11" s="13" t="s">
        <v>24</v>
      </c>
      <c r="M11" s="12" t="s">
        <v>140</v>
      </c>
      <c r="N11" s="12"/>
      <c r="O11" s="12" t="s">
        <v>42</v>
      </c>
    </row>
    <row r="12" spans="5:15" ht="15.75" x14ac:dyDescent="0.25">
      <c r="E12" s="11" t="s">
        <v>13</v>
      </c>
      <c r="F12" s="12"/>
      <c r="G12" s="12">
        <v>1</v>
      </c>
      <c r="H12" s="12" t="s">
        <v>153</v>
      </c>
      <c r="I12" s="12"/>
      <c r="J12" s="12"/>
      <c r="K12" s="12"/>
      <c r="L12" s="13" t="s">
        <v>25</v>
      </c>
      <c r="M12" s="12"/>
      <c r="N12" s="12"/>
      <c r="O12" s="12" t="s">
        <v>107</v>
      </c>
    </row>
    <row r="13" spans="5:15" ht="15.75" x14ac:dyDescent="0.25">
      <c r="E13" s="15" t="s">
        <v>14</v>
      </c>
      <c r="F13" s="16"/>
      <c r="G13" s="12">
        <v>1</v>
      </c>
      <c r="H13" s="16" t="s">
        <v>162</v>
      </c>
      <c r="I13" s="16"/>
      <c r="J13" s="16"/>
      <c r="K13" s="16"/>
      <c r="L13" s="17" t="s">
        <v>136</v>
      </c>
      <c r="M13" s="16"/>
      <c r="N13" s="16"/>
      <c r="O13" s="16" t="s">
        <v>197</v>
      </c>
    </row>
    <row r="14" spans="5:15" ht="15.75" x14ac:dyDescent="0.25">
      <c r="E14" s="15"/>
      <c r="F14" s="16"/>
      <c r="G14" s="12">
        <v>1</v>
      </c>
      <c r="H14" s="16" t="s">
        <v>166</v>
      </c>
      <c r="I14" s="16"/>
      <c r="J14" s="16"/>
      <c r="K14" s="16"/>
      <c r="L14" s="17" t="s">
        <v>139</v>
      </c>
      <c r="M14" s="16"/>
      <c r="N14" s="16"/>
      <c r="O14" s="16" t="s">
        <v>255</v>
      </c>
    </row>
    <row r="15" spans="5:15" ht="15.75" x14ac:dyDescent="0.25">
      <c r="E15" s="15"/>
      <c r="F15" s="16"/>
      <c r="G15" s="12">
        <v>1</v>
      </c>
      <c r="H15" s="16" t="s">
        <v>199</v>
      </c>
      <c r="I15" s="16"/>
      <c r="J15" s="16"/>
      <c r="K15" s="16"/>
      <c r="L15" s="17" t="s">
        <v>219</v>
      </c>
      <c r="M15" s="16"/>
      <c r="N15" s="16"/>
      <c r="O15" s="16"/>
    </row>
    <row r="16" spans="5:15" ht="15.75" x14ac:dyDescent="0.25">
      <c r="E16" s="15"/>
      <c r="F16" s="16"/>
      <c r="G16" s="12">
        <v>1</v>
      </c>
      <c r="H16" s="16" t="s">
        <v>220</v>
      </c>
      <c r="I16" s="16"/>
      <c r="J16" s="16"/>
      <c r="K16" s="16"/>
      <c r="L16" s="17" t="s">
        <v>304</v>
      </c>
      <c r="M16" s="16"/>
      <c r="N16" s="16"/>
      <c r="O16" s="16"/>
    </row>
    <row r="17" spans="5:15" ht="15.75" x14ac:dyDescent="0.25">
      <c r="E17" s="86"/>
      <c r="F17" s="85"/>
      <c r="G17" s="88">
        <f>SUBTOTAL(109,Tableau1[nbr])</f>
        <v>11</v>
      </c>
      <c r="H17" s="85"/>
      <c r="I17" s="85"/>
      <c r="J17" s="85"/>
      <c r="K17" s="85"/>
      <c r="L17" s="87"/>
      <c r="M17" s="85"/>
      <c r="N17" s="85"/>
      <c r="O17" s="85"/>
    </row>
  </sheetData>
  <mergeCells count="1">
    <mergeCell ref="E2:O3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A3C66"/>
  </sheetPr>
  <dimension ref="A1:W104"/>
  <sheetViews>
    <sheetView zoomScale="80" zoomScaleNormal="80" workbookViewId="0">
      <pane xSplit="1" topLeftCell="C1" activePane="topRight" state="frozen"/>
      <selection pane="topRight" activeCell="J109" sqref="J109"/>
    </sheetView>
  </sheetViews>
  <sheetFormatPr baseColWidth="10" defaultColWidth="9.140625" defaultRowHeight="15" x14ac:dyDescent="0.25"/>
  <cols>
    <col min="1" max="1" width="28.42578125" style="21" customWidth="1"/>
    <col min="2" max="2" width="4.42578125" style="21" customWidth="1"/>
    <col min="3" max="3" width="4" style="21" customWidth="1"/>
    <col min="5" max="5" width="14.5703125" customWidth="1"/>
    <col min="6" max="6" width="10.42578125" customWidth="1"/>
    <col min="7" max="7" width="14.42578125" customWidth="1"/>
    <col min="8" max="8" width="17.85546875" customWidth="1"/>
    <col min="9" max="9" width="25.28515625" customWidth="1"/>
    <col min="10" max="11" width="12" customWidth="1"/>
    <col min="12" max="12" width="13.42578125" customWidth="1"/>
    <col min="13" max="13" width="29.140625" customWidth="1"/>
    <col min="14" max="14" width="19.5703125" customWidth="1"/>
    <col min="15" max="15" width="24.28515625" customWidth="1"/>
    <col min="16" max="16" width="17.42578125" customWidth="1"/>
    <col min="17" max="17" width="13.140625" customWidth="1"/>
    <col min="18" max="18" width="9.140625" style="67"/>
    <col min="19" max="19" width="5.85546875" customWidth="1"/>
    <col min="20" max="20" width="13.28515625" customWidth="1"/>
    <col min="21" max="21" width="4.85546875" customWidth="1"/>
    <col min="22" max="22" width="5" customWidth="1"/>
    <col min="23" max="23" width="5.7109375" customWidth="1"/>
  </cols>
  <sheetData>
    <row r="1" spans="1:23" ht="21.75" customHeight="1" x14ac:dyDescent="0.25">
      <c r="A1" s="23"/>
      <c r="J1" s="30">
        <f>Tableau2[[#Totals],[rec]]+Tableau24[[#Totals],[rec]]+Tableau245[[#Totals],[rec]]+Tableau2456[[#Totals],[rec]]</f>
        <v>5</v>
      </c>
      <c r="K1" s="57">
        <f>Tableau2[[#Totals],[re]]+Tableau24[[#Totals],[re]]+Tableau245[[#Totals],[re]]+Tableau2456[[#Totals],[re]]</f>
        <v>0</v>
      </c>
      <c r="L1" s="31">
        <f>Tableau2[[#Totals],[nr]]+Tableau24[[#Totals],[nr]]+Tableau245[[#Totals],[nr]]+Tableau2456[[#Totals],[nr]]</f>
        <v>5</v>
      </c>
    </row>
    <row r="2" spans="1:23" ht="26.25" x14ac:dyDescent="0.4">
      <c r="E2" s="98" t="s">
        <v>43</v>
      </c>
      <c r="F2" s="98"/>
      <c r="G2" s="98"/>
      <c r="H2" s="98"/>
      <c r="J2" s="32" t="s">
        <v>72</v>
      </c>
      <c r="K2" s="58" t="s">
        <v>73</v>
      </c>
      <c r="L2" s="33" t="s">
        <v>74</v>
      </c>
    </row>
    <row r="5" spans="1:23" x14ac:dyDescent="0.25">
      <c r="E5" s="22" t="s">
        <v>44</v>
      </c>
      <c r="F5" s="22" t="s">
        <v>45</v>
      </c>
      <c r="G5" s="22" t="s">
        <v>46</v>
      </c>
      <c r="H5" s="22" t="s">
        <v>47</v>
      </c>
      <c r="I5" s="22" t="s">
        <v>48</v>
      </c>
      <c r="J5" s="22" t="s">
        <v>49</v>
      </c>
      <c r="K5" s="22" t="s">
        <v>50</v>
      </c>
      <c r="L5" s="22" t="s">
        <v>51</v>
      </c>
      <c r="M5" s="22" t="s">
        <v>52</v>
      </c>
      <c r="N5" s="22" t="s">
        <v>53</v>
      </c>
      <c r="O5" s="22" t="s">
        <v>54</v>
      </c>
      <c r="P5" s="22" t="s">
        <v>55</v>
      </c>
      <c r="Q5" s="22" t="s">
        <v>56</v>
      </c>
      <c r="R5" s="68" t="s">
        <v>57</v>
      </c>
      <c r="S5" s="22" t="s">
        <v>58</v>
      </c>
      <c r="T5" s="22" t="s">
        <v>66</v>
      </c>
      <c r="U5" s="2" t="s">
        <v>63</v>
      </c>
      <c r="V5" s="59" t="s">
        <v>64</v>
      </c>
      <c r="W5" s="4" t="s">
        <v>65</v>
      </c>
    </row>
    <row r="6" spans="1:23" hidden="1" x14ac:dyDescent="0.25">
      <c r="E6" t="s">
        <v>31</v>
      </c>
      <c r="F6" t="s">
        <v>95</v>
      </c>
      <c r="G6" t="s">
        <v>96</v>
      </c>
      <c r="H6" s="81" t="s">
        <v>99</v>
      </c>
      <c r="I6" t="s">
        <v>93</v>
      </c>
      <c r="J6" t="s">
        <v>16</v>
      </c>
      <c r="K6" t="s">
        <v>97</v>
      </c>
      <c r="L6" s="1">
        <v>45950</v>
      </c>
      <c r="M6" t="s">
        <v>136</v>
      </c>
      <c r="N6" t="s">
        <v>12</v>
      </c>
      <c r="O6" t="s">
        <v>144</v>
      </c>
      <c r="R6" s="67">
        <v>0</v>
      </c>
      <c r="S6" t="s">
        <v>67</v>
      </c>
      <c r="T6" s="1">
        <v>45950</v>
      </c>
      <c r="U6">
        <v>1</v>
      </c>
      <c r="V6">
        <v>1</v>
      </c>
      <c r="W6">
        <v>0</v>
      </c>
    </row>
    <row r="7" spans="1:23" hidden="1" x14ac:dyDescent="0.25">
      <c r="E7" t="s">
        <v>31</v>
      </c>
      <c r="F7" t="s">
        <v>95</v>
      </c>
      <c r="G7" t="s">
        <v>96</v>
      </c>
      <c r="H7" s="81" t="s">
        <v>100</v>
      </c>
      <c r="I7" t="s">
        <v>93</v>
      </c>
      <c r="J7" t="s">
        <v>16</v>
      </c>
      <c r="K7" t="s">
        <v>97</v>
      </c>
      <c r="L7" s="1">
        <v>45950</v>
      </c>
      <c r="M7" t="s">
        <v>136</v>
      </c>
      <c r="N7" t="s">
        <v>14</v>
      </c>
      <c r="O7" t="s">
        <v>144</v>
      </c>
      <c r="P7" t="s">
        <v>136</v>
      </c>
      <c r="S7" t="s">
        <v>61</v>
      </c>
      <c r="T7" s="1">
        <v>45950</v>
      </c>
      <c r="U7">
        <v>1</v>
      </c>
      <c r="V7">
        <v>0</v>
      </c>
      <c r="W7">
        <v>1</v>
      </c>
    </row>
    <row r="8" spans="1:23" x14ac:dyDescent="0.25">
      <c r="E8" t="s">
        <v>31</v>
      </c>
      <c r="F8" t="s">
        <v>95</v>
      </c>
      <c r="G8" t="s">
        <v>96</v>
      </c>
      <c r="H8" s="81" t="s">
        <v>101</v>
      </c>
      <c r="I8" t="s">
        <v>93</v>
      </c>
      <c r="J8" t="s">
        <v>16</v>
      </c>
      <c r="K8" t="s">
        <v>97</v>
      </c>
      <c r="L8" s="1">
        <v>45950</v>
      </c>
      <c r="M8" t="s">
        <v>136</v>
      </c>
      <c r="N8" t="s">
        <v>12</v>
      </c>
      <c r="O8" t="s">
        <v>144</v>
      </c>
      <c r="P8" t="s">
        <v>136</v>
      </c>
      <c r="S8" t="s">
        <v>61</v>
      </c>
      <c r="T8" s="1">
        <v>45950</v>
      </c>
      <c r="U8">
        <v>1</v>
      </c>
      <c r="V8">
        <v>0</v>
      </c>
      <c r="W8">
        <v>1</v>
      </c>
    </row>
    <row r="9" spans="1:23" hidden="1" x14ac:dyDescent="0.25">
      <c r="E9" t="s">
        <v>31</v>
      </c>
      <c r="F9" t="s">
        <v>95</v>
      </c>
      <c r="G9" t="s">
        <v>96</v>
      </c>
      <c r="H9" s="81" t="s">
        <v>113</v>
      </c>
      <c r="I9" t="s">
        <v>171</v>
      </c>
      <c r="J9" t="s">
        <v>16</v>
      </c>
      <c r="K9" t="s">
        <v>112</v>
      </c>
      <c r="L9" s="1">
        <v>45950</v>
      </c>
      <c r="M9" t="s">
        <v>145</v>
      </c>
      <c r="N9" t="s">
        <v>14</v>
      </c>
      <c r="O9" t="s">
        <v>102</v>
      </c>
      <c r="S9" t="s">
        <v>67</v>
      </c>
      <c r="T9" s="1">
        <v>45950</v>
      </c>
      <c r="U9">
        <v>1</v>
      </c>
      <c r="V9">
        <v>1</v>
      </c>
      <c r="W9">
        <v>0</v>
      </c>
    </row>
    <row r="10" spans="1:23" hidden="1" x14ac:dyDescent="0.25">
      <c r="E10" t="s">
        <v>31</v>
      </c>
      <c r="F10" t="s">
        <v>95</v>
      </c>
      <c r="G10" t="s">
        <v>114</v>
      </c>
      <c r="H10" s="81" t="s">
        <v>115</v>
      </c>
      <c r="I10" t="s">
        <v>90</v>
      </c>
      <c r="J10" t="s">
        <v>16</v>
      </c>
      <c r="K10" t="s">
        <v>112</v>
      </c>
      <c r="L10" s="1">
        <v>45950</v>
      </c>
      <c r="M10" t="s">
        <v>87</v>
      </c>
      <c r="N10" t="s">
        <v>12</v>
      </c>
      <c r="O10" t="s">
        <v>102</v>
      </c>
      <c r="S10" t="s">
        <v>67</v>
      </c>
      <c r="T10" s="1">
        <v>45950</v>
      </c>
      <c r="U10">
        <v>1</v>
      </c>
      <c r="V10">
        <v>1</v>
      </c>
      <c r="W10">
        <v>0</v>
      </c>
    </row>
    <row r="11" spans="1:23" hidden="1" x14ac:dyDescent="0.25">
      <c r="E11" t="s">
        <v>31</v>
      </c>
      <c r="F11" t="s">
        <v>95</v>
      </c>
      <c r="G11" t="s">
        <v>114</v>
      </c>
      <c r="H11" s="81" t="s">
        <v>116</v>
      </c>
      <c r="I11" t="s">
        <v>90</v>
      </c>
      <c r="J11" t="s">
        <v>16</v>
      </c>
      <c r="K11" t="s">
        <v>112</v>
      </c>
      <c r="L11" s="1">
        <v>45950</v>
      </c>
      <c r="M11" t="s">
        <v>87</v>
      </c>
      <c r="N11" t="s">
        <v>14</v>
      </c>
      <c r="O11" t="s">
        <v>102</v>
      </c>
      <c r="S11" t="s">
        <v>67</v>
      </c>
      <c r="T11" s="1">
        <v>45950</v>
      </c>
      <c r="U11">
        <v>1</v>
      </c>
      <c r="V11">
        <v>1</v>
      </c>
      <c r="W11">
        <v>0</v>
      </c>
    </row>
    <row r="12" spans="1:23" hidden="1" x14ac:dyDescent="0.25">
      <c r="E12" t="s">
        <v>31</v>
      </c>
      <c r="F12" t="s">
        <v>95</v>
      </c>
      <c r="G12" t="s">
        <v>114</v>
      </c>
      <c r="H12" s="81" t="s">
        <v>117</v>
      </c>
      <c r="I12" t="s">
        <v>90</v>
      </c>
      <c r="J12" t="s">
        <v>16</v>
      </c>
      <c r="K12" t="s">
        <v>112</v>
      </c>
      <c r="L12" s="1">
        <v>45950</v>
      </c>
      <c r="M12" t="s">
        <v>87</v>
      </c>
      <c r="N12" t="s">
        <v>12</v>
      </c>
      <c r="O12" t="s">
        <v>102</v>
      </c>
      <c r="S12" t="s">
        <v>67</v>
      </c>
      <c r="T12" s="1">
        <v>45950</v>
      </c>
      <c r="U12">
        <v>1</v>
      </c>
      <c r="V12">
        <v>1</v>
      </c>
      <c r="W12">
        <v>0</v>
      </c>
    </row>
    <row r="13" spans="1:23" hidden="1" x14ac:dyDescent="0.25">
      <c r="E13" t="s">
        <v>31</v>
      </c>
      <c r="F13" t="s">
        <v>95</v>
      </c>
      <c r="G13" t="s">
        <v>96</v>
      </c>
      <c r="H13" s="81" t="s">
        <v>118</v>
      </c>
      <c r="I13" t="s">
        <v>94</v>
      </c>
      <c r="J13" t="s">
        <v>16</v>
      </c>
      <c r="K13" t="s">
        <v>119</v>
      </c>
      <c r="L13" s="1">
        <v>45950</v>
      </c>
      <c r="M13" t="s">
        <v>87</v>
      </c>
      <c r="N13" t="s">
        <v>14</v>
      </c>
      <c r="O13" t="s">
        <v>102</v>
      </c>
      <c r="S13" t="s">
        <v>67</v>
      </c>
      <c r="T13" s="1">
        <v>45950</v>
      </c>
      <c r="U13">
        <v>1</v>
      </c>
      <c r="V13">
        <v>1</v>
      </c>
      <c r="W13">
        <v>0</v>
      </c>
    </row>
    <row r="14" spans="1:23" hidden="1" x14ac:dyDescent="0.25">
      <c r="E14" t="s">
        <v>31</v>
      </c>
      <c r="F14" t="s">
        <v>95</v>
      </c>
      <c r="G14" t="s">
        <v>96</v>
      </c>
      <c r="H14" s="81" t="s">
        <v>120</v>
      </c>
      <c r="I14" t="s">
        <v>92</v>
      </c>
      <c r="J14" t="s">
        <v>16</v>
      </c>
      <c r="K14" t="s">
        <v>106</v>
      </c>
      <c r="L14" s="1">
        <v>45950</v>
      </c>
      <c r="M14" t="s">
        <v>122</v>
      </c>
      <c r="N14" t="s">
        <v>12</v>
      </c>
      <c r="O14" t="s">
        <v>123</v>
      </c>
      <c r="S14" t="s">
        <v>67</v>
      </c>
      <c r="T14" s="1">
        <v>45950</v>
      </c>
      <c r="U14">
        <v>1</v>
      </c>
      <c r="V14">
        <v>1</v>
      </c>
      <c r="W14">
        <v>0</v>
      </c>
    </row>
    <row r="15" spans="1:23" hidden="1" x14ac:dyDescent="0.25">
      <c r="E15" t="s">
        <v>31</v>
      </c>
      <c r="F15" t="s">
        <v>95</v>
      </c>
      <c r="G15" t="s">
        <v>96</v>
      </c>
      <c r="H15" s="81" t="s">
        <v>121</v>
      </c>
      <c r="I15" t="s">
        <v>92</v>
      </c>
      <c r="J15" t="s">
        <v>16</v>
      </c>
      <c r="K15" t="s">
        <v>106</v>
      </c>
      <c r="L15" s="1">
        <v>45950</v>
      </c>
      <c r="M15" t="s">
        <v>122</v>
      </c>
      <c r="N15" t="s">
        <v>14</v>
      </c>
      <c r="O15" t="s">
        <v>123</v>
      </c>
      <c r="S15" t="s">
        <v>67</v>
      </c>
      <c r="T15" s="1">
        <v>45950</v>
      </c>
      <c r="U15">
        <v>1</v>
      </c>
      <c r="V15">
        <v>1</v>
      </c>
      <c r="W15">
        <v>0</v>
      </c>
    </row>
    <row r="16" spans="1:23" hidden="1" x14ac:dyDescent="0.25">
      <c r="E16" t="s">
        <v>31</v>
      </c>
      <c r="F16" t="s">
        <v>95</v>
      </c>
      <c r="G16" t="s">
        <v>96</v>
      </c>
      <c r="H16" s="81" t="s">
        <v>125</v>
      </c>
      <c r="I16" t="s">
        <v>89</v>
      </c>
      <c r="J16" t="s">
        <v>16</v>
      </c>
      <c r="K16" t="s">
        <v>124</v>
      </c>
      <c r="L16" s="1">
        <v>45950</v>
      </c>
      <c r="M16" t="s">
        <v>136</v>
      </c>
      <c r="N16" t="s">
        <v>12</v>
      </c>
      <c r="O16" t="s">
        <v>151</v>
      </c>
      <c r="S16" t="s">
        <v>67</v>
      </c>
      <c r="T16" s="1">
        <v>45950</v>
      </c>
      <c r="U16">
        <v>1</v>
      </c>
      <c r="V16">
        <v>1</v>
      </c>
      <c r="W16">
        <v>0</v>
      </c>
    </row>
    <row r="17" spans="5:23" hidden="1" x14ac:dyDescent="0.25">
      <c r="E17" t="s">
        <v>31</v>
      </c>
      <c r="F17" t="s">
        <v>95</v>
      </c>
      <c r="G17" t="s">
        <v>96</v>
      </c>
      <c r="H17" s="81" t="s">
        <v>126</v>
      </c>
      <c r="I17" t="s">
        <v>89</v>
      </c>
      <c r="J17" t="s">
        <v>16</v>
      </c>
      <c r="K17" t="s">
        <v>124</v>
      </c>
      <c r="L17" s="1">
        <v>45950</v>
      </c>
      <c r="M17" t="s">
        <v>136</v>
      </c>
      <c r="N17" t="s">
        <v>14</v>
      </c>
      <c r="O17" t="s">
        <v>150</v>
      </c>
      <c r="S17" t="s">
        <v>67</v>
      </c>
      <c r="T17" s="1">
        <v>45950</v>
      </c>
      <c r="U17">
        <v>1</v>
      </c>
      <c r="V17">
        <v>1</v>
      </c>
      <c r="W17">
        <v>0</v>
      </c>
    </row>
    <row r="18" spans="5:23" hidden="1" x14ac:dyDescent="0.25">
      <c r="E18" t="s">
        <v>31</v>
      </c>
      <c r="F18" t="s">
        <v>95</v>
      </c>
      <c r="G18" t="s">
        <v>96</v>
      </c>
      <c r="H18" s="81" t="s">
        <v>127</v>
      </c>
      <c r="I18" t="s">
        <v>89</v>
      </c>
      <c r="J18" t="s">
        <v>16</v>
      </c>
      <c r="K18" t="s">
        <v>124</v>
      </c>
      <c r="L18" s="1">
        <v>45950</v>
      </c>
      <c r="M18" t="s">
        <v>146</v>
      </c>
      <c r="N18" t="s">
        <v>12</v>
      </c>
      <c r="O18" t="s">
        <v>147</v>
      </c>
      <c r="S18" t="s">
        <v>67</v>
      </c>
      <c r="T18" s="1">
        <v>45950</v>
      </c>
      <c r="U18">
        <v>1</v>
      </c>
      <c r="V18">
        <v>1</v>
      </c>
      <c r="W18">
        <v>0</v>
      </c>
    </row>
    <row r="19" spans="5:23" hidden="1" x14ac:dyDescent="0.25">
      <c r="E19" t="s">
        <v>31</v>
      </c>
      <c r="F19" t="s">
        <v>95</v>
      </c>
      <c r="G19" t="s">
        <v>96</v>
      </c>
      <c r="H19" s="81" t="s">
        <v>128</v>
      </c>
      <c r="I19" t="s">
        <v>89</v>
      </c>
      <c r="J19" t="s">
        <v>16</v>
      </c>
      <c r="K19" t="s">
        <v>124</v>
      </c>
      <c r="L19" s="1">
        <v>45950</v>
      </c>
      <c r="M19" s="69" t="s">
        <v>148</v>
      </c>
      <c r="N19" t="s">
        <v>14</v>
      </c>
      <c r="O19" t="s">
        <v>149</v>
      </c>
      <c r="S19" t="s">
        <v>61</v>
      </c>
      <c r="T19" s="1">
        <v>45950</v>
      </c>
      <c r="U19">
        <v>1</v>
      </c>
      <c r="V19">
        <v>0</v>
      </c>
      <c r="W19">
        <v>1</v>
      </c>
    </row>
    <row r="20" spans="5:23" hidden="1" x14ac:dyDescent="0.25">
      <c r="E20" t="s">
        <v>31</v>
      </c>
      <c r="F20" t="s">
        <v>95</v>
      </c>
      <c r="G20" t="s">
        <v>96</v>
      </c>
      <c r="H20" s="81" t="s">
        <v>129</v>
      </c>
      <c r="I20" t="s">
        <v>89</v>
      </c>
      <c r="J20" t="s">
        <v>16</v>
      </c>
      <c r="K20" t="s">
        <v>124</v>
      </c>
      <c r="L20" s="1">
        <v>45950</v>
      </c>
      <c r="M20" t="s">
        <v>136</v>
      </c>
      <c r="N20" t="s">
        <v>12</v>
      </c>
      <c r="O20" t="s">
        <v>151</v>
      </c>
      <c r="S20" t="s">
        <v>67</v>
      </c>
      <c r="T20" s="1">
        <v>45950</v>
      </c>
      <c r="U20">
        <v>1</v>
      </c>
      <c r="V20">
        <v>1</v>
      </c>
      <c r="W20">
        <v>0</v>
      </c>
    </row>
    <row r="21" spans="5:23" hidden="1" x14ac:dyDescent="0.25">
      <c r="E21" t="s">
        <v>31</v>
      </c>
      <c r="F21" t="s">
        <v>95</v>
      </c>
      <c r="G21" t="s">
        <v>96</v>
      </c>
      <c r="H21" s="81" t="s">
        <v>130</v>
      </c>
      <c r="I21" t="s">
        <v>89</v>
      </c>
      <c r="J21" t="s">
        <v>16</v>
      </c>
      <c r="K21" t="s">
        <v>124</v>
      </c>
      <c r="L21" s="1">
        <v>45950</v>
      </c>
      <c r="M21" t="s">
        <v>136</v>
      </c>
      <c r="N21" t="s">
        <v>14</v>
      </c>
      <c r="O21" t="s">
        <v>151</v>
      </c>
      <c r="S21" t="s">
        <v>67</v>
      </c>
      <c r="T21" s="1">
        <v>45950</v>
      </c>
      <c r="U21">
        <v>1</v>
      </c>
      <c r="V21">
        <v>1</v>
      </c>
      <c r="W21">
        <v>0</v>
      </c>
    </row>
    <row r="22" spans="5:23" hidden="1" x14ac:dyDescent="0.25">
      <c r="E22" t="s">
        <v>31</v>
      </c>
      <c r="F22" t="s">
        <v>95</v>
      </c>
      <c r="G22" t="s">
        <v>96</v>
      </c>
      <c r="H22" s="81" t="s">
        <v>131</v>
      </c>
      <c r="I22" t="s">
        <v>89</v>
      </c>
      <c r="J22" t="s">
        <v>16</v>
      </c>
      <c r="K22" t="s">
        <v>124</v>
      </c>
      <c r="L22" s="1">
        <v>45950</v>
      </c>
      <c r="M22" t="s">
        <v>146</v>
      </c>
      <c r="N22" t="s">
        <v>12</v>
      </c>
      <c r="O22" t="s">
        <v>152</v>
      </c>
      <c r="S22" t="s">
        <v>67</v>
      </c>
      <c r="T22" s="1">
        <v>45950</v>
      </c>
      <c r="U22">
        <v>1</v>
      </c>
      <c r="V22">
        <v>1</v>
      </c>
      <c r="W22">
        <v>0</v>
      </c>
    </row>
    <row r="23" spans="5:23" hidden="1" x14ac:dyDescent="0.25">
      <c r="E23" t="s">
        <v>31</v>
      </c>
      <c r="F23" t="s">
        <v>95</v>
      </c>
      <c r="G23" t="s">
        <v>96</v>
      </c>
      <c r="H23" s="81" t="s">
        <v>132</v>
      </c>
      <c r="I23" t="s">
        <v>89</v>
      </c>
      <c r="J23" t="s">
        <v>16</v>
      </c>
      <c r="K23" t="s">
        <v>124</v>
      </c>
      <c r="L23" s="1">
        <v>45950</v>
      </c>
      <c r="M23" t="s">
        <v>146</v>
      </c>
      <c r="N23" t="s">
        <v>14</v>
      </c>
      <c r="O23" t="s">
        <v>151</v>
      </c>
      <c r="S23" t="s">
        <v>67</v>
      </c>
      <c r="T23" s="1">
        <v>45950</v>
      </c>
      <c r="U23">
        <v>1</v>
      </c>
      <c r="V23">
        <v>0</v>
      </c>
      <c r="W23">
        <v>1</v>
      </c>
    </row>
    <row r="24" spans="5:23" hidden="1" x14ac:dyDescent="0.25">
      <c r="E24" t="s">
        <v>31</v>
      </c>
      <c r="F24" t="s">
        <v>95</v>
      </c>
      <c r="G24" t="s">
        <v>96</v>
      </c>
      <c r="H24" s="81" t="s">
        <v>133</v>
      </c>
      <c r="I24" t="s">
        <v>89</v>
      </c>
      <c r="J24" t="s">
        <v>16</v>
      </c>
      <c r="K24" t="s">
        <v>124</v>
      </c>
      <c r="L24" s="1">
        <v>45950</v>
      </c>
      <c r="M24" t="s">
        <v>136</v>
      </c>
      <c r="N24" t="s">
        <v>12</v>
      </c>
      <c r="O24" t="s">
        <v>137</v>
      </c>
      <c r="P24" t="s">
        <v>136</v>
      </c>
      <c r="R24" s="67">
        <v>0</v>
      </c>
      <c r="S24" t="s">
        <v>67</v>
      </c>
      <c r="T24" s="1">
        <v>45950</v>
      </c>
      <c r="U24">
        <v>1</v>
      </c>
      <c r="V24">
        <v>0</v>
      </c>
      <c r="W24">
        <v>1</v>
      </c>
    </row>
    <row r="25" spans="5:23" hidden="1" x14ac:dyDescent="0.25">
      <c r="E25" t="s">
        <v>31</v>
      </c>
      <c r="F25" t="s">
        <v>95</v>
      </c>
      <c r="G25" t="s">
        <v>96</v>
      </c>
      <c r="H25" s="81" t="s">
        <v>134</v>
      </c>
      <c r="I25" t="s">
        <v>89</v>
      </c>
      <c r="J25" t="s">
        <v>16</v>
      </c>
      <c r="K25" t="s">
        <v>124</v>
      </c>
      <c r="L25" s="1">
        <v>45950</v>
      </c>
      <c r="M25" t="s">
        <v>98</v>
      </c>
      <c r="N25" t="s">
        <v>14</v>
      </c>
      <c r="O25" t="s">
        <v>102</v>
      </c>
      <c r="S25" t="s">
        <v>67</v>
      </c>
      <c r="T25" s="1">
        <v>45950</v>
      </c>
      <c r="U25">
        <v>1</v>
      </c>
      <c r="V25">
        <v>1</v>
      </c>
      <c r="W25">
        <v>0</v>
      </c>
    </row>
    <row r="26" spans="5:23" hidden="1" x14ac:dyDescent="0.25">
      <c r="E26" t="s">
        <v>31</v>
      </c>
      <c r="F26" t="s">
        <v>95</v>
      </c>
      <c r="G26" t="s">
        <v>96</v>
      </c>
      <c r="H26" s="81" t="s">
        <v>135</v>
      </c>
      <c r="I26" t="s">
        <v>89</v>
      </c>
      <c r="J26" t="s">
        <v>16</v>
      </c>
      <c r="K26" t="s">
        <v>124</v>
      </c>
      <c r="L26" s="1">
        <v>45950</v>
      </c>
      <c r="M26" t="s">
        <v>138</v>
      </c>
      <c r="N26" t="s">
        <v>14</v>
      </c>
      <c r="P26" t="s">
        <v>139</v>
      </c>
      <c r="R26" s="67">
        <v>0</v>
      </c>
      <c r="S26" t="s">
        <v>61</v>
      </c>
      <c r="T26" s="1">
        <v>45950</v>
      </c>
      <c r="U26">
        <v>1</v>
      </c>
      <c r="V26">
        <v>0</v>
      </c>
      <c r="W26">
        <v>1</v>
      </c>
    </row>
    <row r="27" spans="5:23" hidden="1" x14ac:dyDescent="0.25">
      <c r="E27" t="s">
        <v>140</v>
      </c>
      <c r="F27" t="s">
        <v>141</v>
      </c>
      <c r="G27" t="s">
        <v>142</v>
      </c>
      <c r="H27" s="81" t="s">
        <v>143</v>
      </c>
      <c r="I27" t="s">
        <v>89</v>
      </c>
      <c r="J27" t="s">
        <v>16</v>
      </c>
      <c r="K27" t="s">
        <v>124</v>
      </c>
      <c r="L27" s="1">
        <v>45950</v>
      </c>
      <c r="M27" t="s">
        <v>172</v>
      </c>
      <c r="N27" t="s">
        <v>12</v>
      </c>
      <c r="S27" t="s">
        <v>67</v>
      </c>
      <c r="T27" s="1">
        <v>45950</v>
      </c>
      <c r="U27">
        <v>1</v>
      </c>
      <c r="V27">
        <v>1</v>
      </c>
      <c r="W27">
        <v>0</v>
      </c>
    </row>
    <row r="28" spans="5:23" hidden="1" x14ac:dyDescent="0.25">
      <c r="E28" t="s">
        <v>31</v>
      </c>
      <c r="F28" t="s">
        <v>95</v>
      </c>
      <c r="G28" t="s">
        <v>96</v>
      </c>
      <c r="H28" s="81" t="s">
        <v>154</v>
      </c>
      <c r="I28" t="s">
        <v>153</v>
      </c>
      <c r="J28" t="s">
        <v>16</v>
      </c>
      <c r="K28" t="s">
        <v>155</v>
      </c>
      <c r="L28" s="1">
        <v>45950</v>
      </c>
      <c r="M28" s="69" t="s">
        <v>218</v>
      </c>
      <c r="N28" t="s">
        <v>14</v>
      </c>
      <c r="P28" t="s">
        <v>219</v>
      </c>
      <c r="S28" t="s">
        <v>61</v>
      </c>
      <c r="T28" s="1">
        <v>45950</v>
      </c>
      <c r="U28">
        <v>1</v>
      </c>
      <c r="V28">
        <v>0</v>
      </c>
      <c r="W28">
        <v>1</v>
      </c>
    </row>
    <row r="29" spans="5:23" x14ac:dyDescent="0.25">
      <c r="E29" t="s">
        <v>31</v>
      </c>
      <c r="F29" t="s">
        <v>95</v>
      </c>
      <c r="G29" t="s">
        <v>96</v>
      </c>
      <c r="H29" s="81" t="s">
        <v>156</v>
      </c>
      <c r="I29" t="s">
        <v>153</v>
      </c>
      <c r="J29" t="s">
        <v>16</v>
      </c>
      <c r="K29" t="s">
        <v>155</v>
      </c>
      <c r="L29" s="1">
        <v>45950</v>
      </c>
      <c r="M29" s="69" t="s">
        <v>218</v>
      </c>
      <c r="N29" t="s">
        <v>12</v>
      </c>
      <c r="P29" t="s">
        <v>219</v>
      </c>
      <c r="R29" s="67">
        <v>0</v>
      </c>
      <c r="S29" t="s">
        <v>61</v>
      </c>
      <c r="T29" s="1">
        <v>45950</v>
      </c>
      <c r="U29">
        <v>1</v>
      </c>
      <c r="V29">
        <v>0</v>
      </c>
      <c r="W29">
        <v>1</v>
      </c>
    </row>
    <row r="30" spans="5:23" hidden="1" x14ac:dyDescent="0.25">
      <c r="E30" t="s">
        <v>31</v>
      </c>
      <c r="F30" t="s">
        <v>95</v>
      </c>
      <c r="G30" t="s">
        <v>96</v>
      </c>
      <c r="H30" s="81" t="s">
        <v>154</v>
      </c>
      <c r="I30" t="s">
        <v>153</v>
      </c>
      <c r="J30" t="s">
        <v>16</v>
      </c>
      <c r="K30" t="s">
        <v>155</v>
      </c>
      <c r="L30" s="1">
        <v>45950</v>
      </c>
      <c r="M30" t="s">
        <v>159</v>
      </c>
      <c r="N30" t="s">
        <v>14</v>
      </c>
      <c r="O30" t="s">
        <v>160</v>
      </c>
      <c r="R30" s="67">
        <v>0</v>
      </c>
      <c r="S30" t="s">
        <v>67</v>
      </c>
      <c r="T30" s="1">
        <v>45950</v>
      </c>
      <c r="U30">
        <v>1</v>
      </c>
      <c r="V30">
        <v>1</v>
      </c>
      <c r="W30">
        <v>0</v>
      </c>
    </row>
    <row r="31" spans="5:23" hidden="1" x14ac:dyDescent="0.25">
      <c r="E31" t="s">
        <v>31</v>
      </c>
      <c r="F31" t="s">
        <v>95</v>
      </c>
      <c r="G31" t="s">
        <v>96</v>
      </c>
      <c r="H31" s="81" t="s">
        <v>157</v>
      </c>
      <c r="I31" t="s">
        <v>153</v>
      </c>
      <c r="J31" t="s">
        <v>16</v>
      </c>
      <c r="K31" t="s">
        <v>155</v>
      </c>
      <c r="L31" s="1">
        <v>45950</v>
      </c>
      <c r="M31" t="s">
        <v>161</v>
      </c>
      <c r="N31" t="s">
        <v>12</v>
      </c>
      <c r="O31" t="s">
        <v>123</v>
      </c>
      <c r="S31" t="s">
        <v>67</v>
      </c>
      <c r="T31" s="1">
        <v>45950</v>
      </c>
      <c r="U31">
        <v>1</v>
      </c>
      <c r="V31">
        <v>1</v>
      </c>
      <c r="W31">
        <v>0</v>
      </c>
    </row>
    <row r="32" spans="5:23" hidden="1" x14ac:dyDescent="0.25">
      <c r="E32" t="s">
        <v>31</v>
      </c>
      <c r="F32" t="s">
        <v>95</v>
      </c>
      <c r="G32" t="s">
        <v>96</v>
      </c>
      <c r="H32" s="81" t="s">
        <v>158</v>
      </c>
      <c r="I32" t="s">
        <v>153</v>
      </c>
      <c r="J32" t="s">
        <v>16</v>
      </c>
      <c r="K32" t="s">
        <v>155</v>
      </c>
      <c r="L32" s="1">
        <v>45950</v>
      </c>
      <c r="M32" t="s">
        <v>161</v>
      </c>
      <c r="N32" t="s">
        <v>14</v>
      </c>
      <c r="O32" t="s">
        <v>123</v>
      </c>
      <c r="S32" t="s">
        <v>67</v>
      </c>
      <c r="T32" s="1">
        <v>45950</v>
      </c>
      <c r="U32">
        <v>1</v>
      </c>
      <c r="V32">
        <v>1</v>
      </c>
      <c r="W32">
        <v>0</v>
      </c>
    </row>
    <row r="33" spans="5:23" hidden="1" x14ac:dyDescent="0.25">
      <c r="E33" t="s">
        <v>31</v>
      </c>
      <c r="F33" t="s">
        <v>95</v>
      </c>
      <c r="G33" t="s">
        <v>114</v>
      </c>
      <c r="H33" s="81" t="s">
        <v>163</v>
      </c>
      <c r="I33" t="s">
        <v>162</v>
      </c>
      <c r="J33" t="s">
        <v>16</v>
      </c>
      <c r="K33" t="s">
        <v>164</v>
      </c>
      <c r="L33" s="1">
        <v>45950</v>
      </c>
      <c r="N33" t="s">
        <v>12</v>
      </c>
      <c r="O33" t="s">
        <v>165</v>
      </c>
      <c r="S33" t="s">
        <v>67</v>
      </c>
      <c r="T33" s="1">
        <v>45950</v>
      </c>
      <c r="U33">
        <v>1</v>
      </c>
      <c r="V33">
        <v>1</v>
      </c>
      <c r="W33">
        <v>0</v>
      </c>
    </row>
    <row r="34" spans="5:23" hidden="1" x14ac:dyDescent="0.25">
      <c r="E34" t="s">
        <v>31</v>
      </c>
      <c r="F34" t="s">
        <v>95</v>
      </c>
      <c r="G34" t="s">
        <v>96</v>
      </c>
      <c r="H34" s="81" t="s">
        <v>167</v>
      </c>
      <c r="I34" t="s">
        <v>166</v>
      </c>
      <c r="J34" t="s">
        <v>16</v>
      </c>
      <c r="K34" t="s">
        <v>112</v>
      </c>
      <c r="L34" s="1">
        <v>45950</v>
      </c>
      <c r="M34" t="s">
        <v>168</v>
      </c>
      <c r="N34" t="s">
        <v>14</v>
      </c>
      <c r="O34" t="s">
        <v>151</v>
      </c>
      <c r="P34" t="s">
        <v>136</v>
      </c>
      <c r="R34" s="67">
        <v>0</v>
      </c>
      <c r="S34" t="s">
        <v>61</v>
      </c>
      <c r="T34" s="1">
        <v>45950</v>
      </c>
      <c r="U34">
        <v>1</v>
      </c>
      <c r="V34">
        <v>0</v>
      </c>
      <c r="W34">
        <v>1</v>
      </c>
    </row>
    <row r="35" spans="5:23" hidden="1" x14ac:dyDescent="0.25">
      <c r="E35" t="s">
        <v>31</v>
      </c>
      <c r="F35" t="s">
        <v>95</v>
      </c>
      <c r="G35" t="s">
        <v>96</v>
      </c>
      <c r="H35" s="81" t="s">
        <v>169</v>
      </c>
      <c r="I35" t="s">
        <v>166</v>
      </c>
      <c r="J35" t="s">
        <v>16</v>
      </c>
      <c r="K35" t="s">
        <v>112</v>
      </c>
      <c r="L35" s="1">
        <v>45951</v>
      </c>
      <c r="M35" t="s">
        <v>168</v>
      </c>
      <c r="N35" t="s">
        <v>12</v>
      </c>
      <c r="O35" t="s">
        <v>151</v>
      </c>
      <c r="S35" t="s">
        <v>67</v>
      </c>
      <c r="T35" s="1">
        <v>45950</v>
      </c>
      <c r="U35">
        <v>1</v>
      </c>
      <c r="V35">
        <v>1</v>
      </c>
      <c r="W35">
        <v>0</v>
      </c>
    </row>
    <row r="36" spans="5:23" hidden="1" x14ac:dyDescent="0.25">
      <c r="E36" t="s">
        <v>31</v>
      </c>
      <c r="F36" t="s">
        <v>95</v>
      </c>
      <c r="G36" t="s">
        <v>96</v>
      </c>
      <c r="H36" s="81" t="s">
        <v>170</v>
      </c>
      <c r="I36" t="s">
        <v>166</v>
      </c>
      <c r="J36" t="s">
        <v>16</v>
      </c>
      <c r="K36" t="s">
        <v>112</v>
      </c>
      <c r="L36" s="1">
        <v>45952</v>
      </c>
      <c r="M36" t="s">
        <v>168</v>
      </c>
      <c r="N36" t="s">
        <v>14</v>
      </c>
      <c r="O36" t="s">
        <v>151</v>
      </c>
      <c r="P36" t="s">
        <v>136</v>
      </c>
      <c r="R36" s="67">
        <v>0</v>
      </c>
      <c r="S36" t="s">
        <v>61</v>
      </c>
      <c r="T36" s="1">
        <v>45950</v>
      </c>
      <c r="U36">
        <v>1</v>
      </c>
      <c r="V36">
        <v>0</v>
      </c>
      <c r="W36">
        <v>1</v>
      </c>
    </row>
    <row r="37" spans="5:23" hidden="1" x14ac:dyDescent="0.25">
      <c r="E37" t="s">
        <v>28</v>
      </c>
      <c r="F37" t="s">
        <v>183</v>
      </c>
      <c r="G37" t="s">
        <v>184</v>
      </c>
      <c r="H37" s="81" t="s">
        <v>185</v>
      </c>
      <c r="I37" t="s">
        <v>162</v>
      </c>
      <c r="J37" t="s">
        <v>16</v>
      </c>
      <c r="K37" t="s">
        <v>164</v>
      </c>
      <c r="L37" s="1">
        <v>45950</v>
      </c>
      <c r="N37" t="s">
        <v>12</v>
      </c>
      <c r="S37" t="s">
        <v>67</v>
      </c>
      <c r="T37" s="1">
        <v>45950</v>
      </c>
      <c r="U37">
        <v>1</v>
      </c>
      <c r="V37">
        <v>1</v>
      </c>
      <c r="W37">
        <v>0</v>
      </c>
    </row>
    <row r="38" spans="5:23" hidden="1" x14ac:dyDescent="0.25">
      <c r="E38" t="s">
        <v>28</v>
      </c>
      <c r="F38" t="s">
        <v>141</v>
      </c>
      <c r="G38" t="s">
        <v>186</v>
      </c>
      <c r="H38" s="81" t="s">
        <v>187</v>
      </c>
      <c r="I38" t="s">
        <v>162</v>
      </c>
      <c r="J38" t="s">
        <v>16</v>
      </c>
      <c r="K38" t="s">
        <v>164</v>
      </c>
      <c r="L38" s="1">
        <v>45950</v>
      </c>
      <c r="N38" t="s">
        <v>14</v>
      </c>
      <c r="S38" t="s">
        <v>67</v>
      </c>
      <c r="T38" s="1">
        <v>45950</v>
      </c>
      <c r="U38">
        <v>1</v>
      </c>
      <c r="V38">
        <v>1</v>
      </c>
      <c r="W38">
        <v>0</v>
      </c>
    </row>
    <row r="39" spans="5:23" hidden="1" x14ac:dyDescent="0.25">
      <c r="E39" t="s">
        <v>31</v>
      </c>
      <c r="F39" t="s">
        <v>95</v>
      </c>
      <c r="G39" t="s">
        <v>198</v>
      </c>
      <c r="H39" s="81" t="s">
        <v>204</v>
      </c>
      <c r="I39" t="s">
        <v>199</v>
      </c>
      <c r="J39" t="s">
        <v>16</v>
      </c>
      <c r="K39" t="s">
        <v>200</v>
      </c>
      <c r="L39" s="1">
        <v>45950</v>
      </c>
      <c r="N39" t="s">
        <v>12</v>
      </c>
      <c r="S39" t="s">
        <v>67</v>
      </c>
      <c r="T39" s="1"/>
      <c r="U39">
        <v>1</v>
      </c>
      <c r="V39">
        <v>1</v>
      </c>
      <c r="W39">
        <v>0</v>
      </c>
    </row>
    <row r="40" spans="5:23" hidden="1" x14ac:dyDescent="0.25">
      <c r="E40" t="s">
        <v>31</v>
      </c>
      <c r="F40" t="s">
        <v>95</v>
      </c>
      <c r="G40" t="s">
        <v>198</v>
      </c>
      <c r="H40" s="81" t="s">
        <v>205</v>
      </c>
      <c r="I40" t="s">
        <v>199</v>
      </c>
      <c r="J40" t="s">
        <v>16</v>
      </c>
      <c r="K40" t="s">
        <v>200</v>
      </c>
      <c r="L40" s="1">
        <v>45950</v>
      </c>
      <c r="N40" t="s">
        <v>14</v>
      </c>
      <c r="S40" t="s">
        <v>67</v>
      </c>
      <c r="T40" s="1"/>
      <c r="U40">
        <v>1</v>
      </c>
      <c r="V40">
        <v>1</v>
      </c>
      <c r="W40">
        <v>0</v>
      </c>
    </row>
    <row r="41" spans="5:23" hidden="1" x14ac:dyDescent="0.25">
      <c r="E41" t="s">
        <v>31</v>
      </c>
      <c r="F41" t="s">
        <v>95</v>
      </c>
      <c r="G41" t="s">
        <v>198</v>
      </c>
      <c r="H41" s="81" t="s">
        <v>206</v>
      </c>
      <c r="I41" t="s">
        <v>199</v>
      </c>
      <c r="J41" t="s">
        <v>16</v>
      </c>
      <c r="K41" t="s">
        <v>200</v>
      </c>
      <c r="L41" s="1">
        <v>45950</v>
      </c>
      <c r="N41" t="s">
        <v>12</v>
      </c>
      <c r="S41" t="s">
        <v>67</v>
      </c>
      <c r="T41" s="1"/>
      <c r="U41">
        <v>1</v>
      </c>
      <c r="V41">
        <v>1</v>
      </c>
      <c r="W41">
        <v>0</v>
      </c>
    </row>
    <row r="42" spans="5:23" hidden="1" x14ac:dyDescent="0.25">
      <c r="E42" t="s">
        <v>31</v>
      </c>
      <c r="F42" t="s">
        <v>95</v>
      </c>
      <c r="G42" t="s">
        <v>198</v>
      </c>
      <c r="H42" s="81" t="s">
        <v>207</v>
      </c>
      <c r="I42" t="s">
        <v>199</v>
      </c>
      <c r="J42" t="s">
        <v>16</v>
      </c>
      <c r="K42" t="s">
        <v>200</v>
      </c>
      <c r="L42" s="1">
        <v>45950</v>
      </c>
      <c r="N42" t="s">
        <v>14</v>
      </c>
      <c r="O42" t="s">
        <v>102</v>
      </c>
      <c r="S42" t="s">
        <v>67</v>
      </c>
      <c r="T42" s="1"/>
      <c r="U42">
        <v>1</v>
      </c>
      <c r="V42">
        <v>1</v>
      </c>
      <c r="W42">
        <v>0</v>
      </c>
    </row>
    <row r="43" spans="5:23" hidden="1" x14ac:dyDescent="0.25">
      <c r="E43" t="s">
        <v>31</v>
      </c>
      <c r="F43" t="s">
        <v>95</v>
      </c>
      <c r="G43" t="s">
        <v>198</v>
      </c>
      <c r="H43" s="81" t="s">
        <v>208</v>
      </c>
      <c r="I43" t="s">
        <v>199</v>
      </c>
      <c r="J43" t="s">
        <v>16</v>
      </c>
      <c r="K43" t="s">
        <v>200</v>
      </c>
      <c r="L43" s="1">
        <v>45950</v>
      </c>
      <c r="N43" t="s">
        <v>12</v>
      </c>
      <c r="S43" t="s">
        <v>67</v>
      </c>
      <c r="T43" s="1"/>
      <c r="U43">
        <v>1</v>
      </c>
      <c r="V43">
        <v>1</v>
      </c>
      <c r="W43">
        <v>0</v>
      </c>
    </row>
    <row r="44" spans="5:23" hidden="1" x14ac:dyDescent="0.25">
      <c r="E44" t="s">
        <v>31</v>
      </c>
      <c r="F44" t="s">
        <v>95</v>
      </c>
      <c r="G44" t="s">
        <v>198</v>
      </c>
      <c r="H44" s="81" t="s">
        <v>209</v>
      </c>
      <c r="I44" t="s">
        <v>199</v>
      </c>
      <c r="J44" t="s">
        <v>16</v>
      </c>
      <c r="K44" t="s">
        <v>200</v>
      </c>
      <c r="L44" s="1">
        <v>45950</v>
      </c>
      <c r="N44" t="s">
        <v>14</v>
      </c>
      <c r="S44" t="s">
        <v>67</v>
      </c>
      <c r="T44" s="1"/>
      <c r="U44">
        <v>1</v>
      </c>
      <c r="V44">
        <v>1</v>
      </c>
      <c r="W44">
        <v>0</v>
      </c>
    </row>
    <row r="45" spans="5:23" hidden="1" x14ac:dyDescent="0.25">
      <c r="E45" t="s">
        <v>31</v>
      </c>
      <c r="F45" t="s">
        <v>95</v>
      </c>
      <c r="G45" t="s">
        <v>198</v>
      </c>
      <c r="H45" s="81" t="s">
        <v>210</v>
      </c>
      <c r="I45" t="s">
        <v>199</v>
      </c>
      <c r="J45" t="s">
        <v>16</v>
      </c>
      <c r="K45" t="s">
        <v>200</v>
      </c>
      <c r="L45" s="1">
        <v>45950</v>
      </c>
      <c r="N45" t="s">
        <v>12</v>
      </c>
      <c r="S45" t="s">
        <v>67</v>
      </c>
      <c r="T45" s="1"/>
      <c r="U45">
        <v>1</v>
      </c>
      <c r="V45">
        <v>1</v>
      </c>
      <c r="W45">
        <v>0</v>
      </c>
    </row>
    <row r="46" spans="5:23" hidden="1" x14ac:dyDescent="0.25">
      <c r="E46" t="s">
        <v>31</v>
      </c>
      <c r="F46" t="s">
        <v>95</v>
      </c>
      <c r="G46" t="s">
        <v>198</v>
      </c>
      <c r="H46" s="81" t="s">
        <v>211</v>
      </c>
      <c r="I46" t="s">
        <v>199</v>
      </c>
      <c r="J46" t="s">
        <v>16</v>
      </c>
      <c r="K46" t="s">
        <v>200</v>
      </c>
      <c r="L46" s="1">
        <v>45950</v>
      </c>
      <c r="N46" t="s">
        <v>14</v>
      </c>
      <c r="S46" t="s">
        <v>67</v>
      </c>
      <c r="T46" s="1"/>
      <c r="U46">
        <v>1</v>
      </c>
      <c r="V46">
        <v>1</v>
      </c>
      <c r="W46">
        <v>0</v>
      </c>
    </row>
    <row r="47" spans="5:23" x14ac:dyDescent="0.25">
      <c r="E47" t="s">
        <v>31</v>
      </c>
      <c r="F47" t="s">
        <v>95</v>
      </c>
      <c r="G47" t="s">
        <v>198</v>
      </c>
      <c r="H47" s="81" t="s">
        <v>212</v>
      </c>
      <c r="I47" t="s">
        <v>199</v>
      </c>
      <c r="J47" t="s">
        <v>16</v>
      </c>
      <c r="K47" t="s">
        <v>200</v>
      </c>
      <c r="L47" s="1">
        <v>45950</v>
      </c>
      <c r="N47" t="s">
        <v>12</v>
      </c>
      <c r="O47" t="s">
        <v>136</v>
      </c>
      <c r="P47" t="s">
        <v>136</v>
      </c>
      <c r="R47" s="67">
        <v>1</v>
      </c>
      <c r="S47" t="s">
        <v>61</v>
      </c>
      <c r="T47" s="1"/>
      <c r="U47">
        <v>1</v>
      </c>
      <c r="V47">
        <v>0</v>
      </c>
      <c r="W47">
        <v>1</v>
      </c>
    </row>
    <row r="48" spans="5:23" hidden="1" x14ac:dyDescent="0.25">
      <c r="E48" t="s">
        <v>31</v>
      </c>
      <c r="F48" t="s">
        <v>95</v>
      </c>
      <c r="G48" t="s">
        <v>198</v>
      </c>
      <c r="H48" s="81" t="s">
        <v>213</v>
      </c>
      <c r="I48" t="s">
        <v>199</v>
      </c>
      <c r="J48" t="s">
        <v>16</v>
      </c>
      <c r="K48" t="s">
        <v>200</v>
      </c>
      <c r="L48" s="1">
        <v>45950</v>
      </c>
      <c r="N48" t="s">
        <v>14</v>
      </c>
      <c r="S48" t="s">
        <v>67</v>
      </c>
      <c r="T48" s="1"/>
      <c r="U48">
        <v>1</v>
      </c>
      <c r="V48">
        <v>1</v>
      </c>
      <c r="W48">
        <v>0</v>
      </c>
    </row>
    <row r="49" spans="5:23" hidden="1" x14ac:dyDescent="0.25">
      <c r="E49" t="s">
        <v>31</v>
      </c>
      <c r="F49" t="s">
        <v>95</v>
      </c>
      <c r="G49" t="s">
        <v>198</v>
      </c>
      <c r="H49" s="81" t="s">
        <v>214</v>
      </c>
      <c r="I49" t="s">
        <v>199</v>
      </c>
      <c r="J49" t="s">
        <v>16</v>
      </c>
      <c r="K49" t="s">
        <v>200</v>
      </c>
      <c r="L49" s="1">
        <v>45950</v>
      </c>
      <c r="N49" t="s">
        <v>12</v>
      </c>
      <c r="S49" t="s">
        <v>67</v>
      </c>
      <c r="T49" s="1"/>
      <c r="U49">
        <v>1</v>
      </c>
      <c r="V49">
        <v>1</v>
      </c>
      <c r="W49">
        <v>0</v>
      </c>
    </row>
    <row r="50" spans="5:23" hidden="1" x14ac:dyDescent="0.25">
      <c r="E50" t="s">
        <v>31</v>
      </c>
      <c r="F50" t="s">
        <v>95</v>
      </c>
      <c r="G50" t="s">
        <v>201</v>
      </c>
      <c r="H50" s="82">
        <v>20230500314</v>
      </c>
      <c r="I50" t="s">
        <v>199</v>
      </c>
      <c r="J50" t="s">
        <v>16</v>
      </c>
      <c r="K50" t="s">
        <v>200</v>
      </c>
      <c r="L50" s="1">
        <v>45950</v>
      </c>
      <c r="N50" t="s">
        <v>14</v>
      </c>
      <c r="S50" t="s">
        <v>67</v>
      </c>
      <c r="T50" s="1"/>
      <c r="U50">
        <v>1</v>
      </c>
      <c r="V50">
        <v>1</v>
      </c>
      <c r="W50">
        <v>0</v>
      </c>
    </row>
    <row r="51" spans="5:23" hidden="1" x14ac:dyDescent="0.25">
      <c r="E51" t="s">
        <v>31</v>
      </c>
      <c r="F51" t="s">
        <v>95</v>
      </c>
      <c r="G51" t="s">
        <v>201</v>
      </c>
      <c r="H51" s="82">
        <v>20230500289</v>
      </c>
      <c r="I51" t="s">
        <v>199</v>
      </c>
      <c r="J51" t="s">
        <v>16</v>
      </c>
      <c r="K51" t="s">
        <v>200</v>
      </c>
      <c r="L51" s="1">
        <v>45950</v>
      </c>
      <c r="N51" t="s">
        <v>12</v>
      </c>
      <c r="S51" t="s">
        <v>67</v>
      </c>
      <c r="T51" s="1"/>
      <c r="U51">
        <v>1</v>
      </c>
      <c r="V51">
        <v>1</v>
      </c>
      <c r="W51">
        <v>0</v>
      </c>
    </row>
    <row r="52" spans="5:23" hidden="1" x14ac:dyDescent="0.25">
      <c r="E52" t="s">
        <v>31</v>
      </c>
      <c r="F52" t="s">
        <v>95</v>
      </c>
      <c r="G52" t="s">
        <v>201</v>
      </c>
      <c r="H52" s="82">
        <v>20230500291</v>
      </c>
      <c r="I52" t="s">
        <v>199</v>
      </c>
      <c r="J52" t="s">
        <v>16</v>
      </c>
      <c r="K52" t="s">
        <v>200</v>
      </c>
      <c r="L52" s="1">
        <v>45950</v>
      </c>
      <c r="N52" t="s">
        <v>14</v>
      </c>
      <c r="S52" t="s">
        <v>67</v>
      </c>
      <c r="T52" s="1"/>
      <c r="U52">
        <v>1</v>
      </c>
      <c r="V52">
        <v>1</v>
      </c>
      <c r="W52">
        <v>0</v>
      </c>
    </row>
    <row r="53" spans="5:23" hidden="1" x14ac:dyDescent="0.25">
      <c r="E53" t="s">
        <v>31</v>
      </c>
      <c r="F53" t="s">
        <v>95</v>
      </c>
      <c r="G53" t="s">
        <v>201</v>
      </c>
      <c r="H53" s="82">
        <v>20230500312</v>
      </c>
      <c r="I53" t="s">
        <v>199</v>
      </c>
      <c r="J53" t="s">
        <v>16</v>
      </c>
      <c r="K53" t="s">
        <v>200</v>
      </c>
      <c r="L53" s="1">
        <v>45950</v>
      </c>
      <c r="N53" t="s">
        <v>12</v>
      </c>
      <c r="S53" t="s">
        <v>67</v>
      </c>
      <c r="T53" s="1"/>
      <c r="U53">
        <v>1</v>
      </c>
      <c r="V53">
        <v>1</v>
      </c>
      <c r="W53">
        <v>0</v>
      </c>
    </row>
    <row r="54" spans="5:23" hidden="1" x14ac:dyDescent="0.25">
      <c r="E54" t="s">
        <v>31</v>
      </c>
      <c r="F54" t="s">
        <v>95</v>
      </c>
      <c r="G54" t="s">
        <v>201</v>
      </c>
      <c r="H54" s="82">
        <v>20230500303</v>
      </c>
      <c r="I54" t="s">
        <v>199</v>
      </c>
      <c r="J54" t="s">
        <v>16</v>
      </c>
      <c r="K54" t="s">
        <v>200</v>
      </c>
      <c r="L54" s="1">
        <v>45950</v>
      </c>
      <c r="N54" t="s">
        <v>14</v>
      </c>
      <c r="S54" t="s">
        <v>67</v>
      </c>
      <c r="T54" s="1"/>
      <c r="U54">
        <v>1</v>
      </c>
      <c r="V54">
        <v>1</v>
      </c>
      <c r="W54">
        <v>0</v>
      </c>
    </row>
    <row r="55" spans="5:23" hidden="1" x14ac:dyDescent="0.25">
      <c r="E55" t="s">
        <v>31</v>
      </c>
      <c r="F55" t="s">
        <v>95</v>
      </c>
      <c r="G55" t="s">
        <v>201</v>
      </c>
      <c r="H55" s="82">
        <v>20230500304</v>
      </c>
      <c r="I55" t="s">
        <v>199</v>
      </c>
      <c r="J55" t="s">
        <v>16</v>
      </c>
      <c r="K55" t="s">
        <v>200</v>
      </c>
      <c r="L55" s="1">
        <v>45950</v>
      </c>
      <c r="N55" t="s">
        <v>12</v>
      </c>
      <c r="S55" t="s">
        <v>67</v>
      </c>
      <c r="T55" s="1"/>
      <c r="U55">
        <v>1</v>
      </c>
      <c r="V55">
        <v>1</v>
      </c>
      <c r="W55">
        <v>0</v>
      </c>
    </row>
    <row r="56" spans="5:23" hidden="1" x14ac:dyDescent="0.25">
      <c r="E56" t="s">
        <v>31</v>
      </c>
      <c r="F56" t="s">
        <v>95</v>
      </c>
      <c r="G56" t="s">
        <v>201</v>
      </c>
      <c r="H56" s="83" t="s">
        <v>202</v>
      </c>
      <c r="I56" t="s">
        <v>199</v>
      </c>
      <c r="J56" t="s">
        <v>16</v>
      </c>
      <c r="K56" t="s">
        <v>200</v>
      </c>
      <c r="L56" s="1">
        <v>45950</v>
      </c>
      <c r="N56" t="s">
        <v>14</v>
      </c>
      <c r="O56" t="s">
        <v>102</v>
      </c>
      <c r="S56" t="s">
        <v>67</v>
      </c>
      <c r="T56" s="1"/>
      <c r="U56">
        <v>1</v>
      </c>
      <c r="V56">
        <v>1</v>
      </c>
      <c r="W56">
        <v>0</v>
      </c>
    </row>
    <row r="57" spans="5:23" hidden="1" x14ac:dyDescent="0.25">
      <c r="E57" t="s">
        <v>31</v>
      </c>
      <c r="F57" t="s">
        <v>95</v>
      </c>
      <c r="G57" t="s">
        <v>114</v>
      </c>
      <c r="H57" s="83" t="s">
        <v>203</v>
      </c>
      <c r="I57" t="s">
        <v>199</v>
      </c>
      <c r="J57" t="s">
        <v>16</v>
      </c>
      <c r="K57" t="s">
        <v>200</v>
      </c>
      <c r="L57" s="1">
        <v>45950</v>
      </c>
      <c r="N57" t="s">
        <v>12</v>
      </c>
      <c r="O57" t="s">
        <v>102</v>
      </c>
      <c r="S57" t="s">
        <v>67</v>
      </c>
      <c r="T57" s="1"/>
      <c r="U57">
        <v>1</v>
      </c>
      <c r="V57">
        <v>1</v>
      </c>
      <c r="W57">
        <v>0</v>
      </c>
    </row>
    <row r="58" spans="5:23" hidden="1" x14ac:dyDescent="0.25">
      <c r="E58" t="s">
        <v>29</v>
      </c>
      <c r="F58" t="s">
        <v>215</v>
      </c>
      <c r="G58" t="s">
        <v>216</v>
      </c>
      <c r="H58" s="83" t="s">
        <v>217</v>
      </c>
      <c r="I58" t="s">
        <v>199</v>
      </c>
      <c r="J58" t="s">
        <v>16</v>
      </c>
      <c r="K58" t="s">
        <v>200</v>
      </c>
      <c r="L58" s="1">
        <v>45950</v>
      </c>
      <c r="N58" t="s">
        <v>14</v>
      </c>
      <c r="S58" t="s">
        <v>67</v>
      </c>
      <c r="T58" s="1"/>
      <c r="U58">
        <v>1</v>
      </c>
      <c r="V58">
        <v>1</v>
      </c>
      <c r="W58">
        <v>0</v>
      </c>
    </row>
    <row r="59" spans="5:23" hidden="1" x14ac:dyDescent="0.25">
      <c r="H59" s="71"/>
      <c r="L59" s="1"/>
      <c r="T59" s="1"/>
      <c r="U59">
        <v>0</v>
      </c>
      <c r="V59">
        <v>0</v>
      </c>
      <c r="W59">
        <v>0</v>
      </c>
    </row>
    <row r="60" spans="5:23" hidden="1" x14ac:dyDescent="0.25">
      <c r="H60" s="71"/>
      <c r="L60" s="1"/>
      <c r="T60" s="1"/>
      <c r="U60">
        <v>0</v>
      </c>
      <c r="V60">
        <v>0</v>
      </c>
      <c r="W60">
        <v>0</v>
      </c>
    </row>
    <row r="61" spans="5:23" x14ac:dyDescent="0.25">
      <c r="L61" s="1"/>
      <c r="U61" s="8">
        <f>SUBTOTAL(109,Tableau2[rec])</f>
        <v>3</v>
      </c>
      <c r="V61" s="60">
        <f>SUBTOTAL(109,Tableau2[re])</f>
        <v>0</v>
      </c>
      <c r="W61" s="9">
        <f>SUBTOTAL(109,Tableau2[nr])</f>
        <v>3</v>
      </c>
    </row>
    <row r="67" spans="5:23" ht="26.25" x14ac:dyDescent="0.4">
      <c r="E67" s="98" t="s">
        <v>62</v>
      </c>
      <c r="F67" s="98"/>
      <c r="G67" s="98"/>
      <c r="H67" s="98"/>
    </row>
    <row r="69" spans="5:23" x14ac:dyDescent="0.25">
      <c r="E69" s="22" t="s">
        <v>44</v>
      </c>
      <c r="F69" s="22" t="s">
        <v>45</v>
      </c>
      <c r="G69" s="22" t="s">
        <v>46</v>
      </c>
      <c r="H69" s="22" t="s">
        <v>47</v>
      </c>
      <c r="I69" s="22" t="s">
        <v>48</v>
      </c>
      <c r="J69" s="22" t="s">
        <v>49</v>
      </c>
      <c r="K69" s="22" t="s">
        <v>50</v>
      </c>
      <c r="L69" s="22" t="s">
        <v>51</v>
      </c>
      <c r="M69" s="22" t="s">
        <v>52</v>
      </c>
      <c r="N69" s="22" t="s">
        <v>53</v>
      </c>
      <c r="O69" s="22" t="s">
        <v>54</v>
      </c>
      <c r="P69" s="22" t="s">
        <v>55</v>
      </c>
      <c r="Q69" s="22" t="s">
        <v>56</v>
      </c>
      <c r="R69" s="68" t="s">
        <v>57</v>
      </c>
      <c r="S69" s="22" t="s">
        <v>58</v>
      </c>
      <c r="T69" s="22" t="s">
        <v>66</v>
      </c>
      <c r="U69" s="2" t="s">
        <v>63</v>
      </c>
      <c r="V69" s="59" t="s">
        <v>64</v>
      </c>
      <c r="W69" s="4" t="s">
        <v>65</v>
      </c>
    </row>
    <row r="70" spans="5:23" x14ac:dyDescent="0.25">
      <c r="L70" s="1"/>
      <c r="T70" s="1"/>
      <c r="U70">
        <v>0</v>
      </c>
      <c r="V70">
        <v>0</v>
      </c>
      <c r="W70">
        <v>0</v>
      </c>
    </row>
    <row r="71" spans="5:23" x14ac:dyDescent="0.25">
      <c r="L71" s="1"/>
      <c r="T71" s="1"/>
      <c r="U71">
        <v>0</v>
      </c>
      <c r="V71">
        <v>0</v>
      </c>
      <c r="W71">
        <v>0</v>
      </c>
    </row>
    <row r="72" spans="5:23" x14ac:dyDescent="0.25">
      <c r="L72" s="1"/>
      <c r="T72" s="1"/>
      <c r="U72">
        <v>0</v>
      </c>
      <c r="V72">
        <v>0</v>
      </c>
      <c r="W72">
        <v>0</v>
      </c>
    </row>
    <row r="73" spans="5:23" x14ac:dyDescent="0.25">
      <c r="L73" s="1"/>
      <c r="T73" s="1"/>
      <c r="U73">
        <v>0</v>
      </c>
      <c r="V73">
        <v>0</v>
      </c>
      <c r="W73">
        <v>0</v>
      </c>
    </row>
    <row r="74" spans="5:23" x14ac:dyDescent="0.25">
      <c r="L74" s="1"/>
      <c r="U74" s="8">
        <f>SUBTOTAL(109,Tableau24[rec])</f>
        <v>0</v>
      </c>
      <c r="V74" s="60">
        <f>SUBTOTAL(109,Tableau24[re])</f>
        <v>0</v>
      </c>
      <c r="W74" s="9">
        <f>SUBTOTAL(109,Tableau24[nr])</f>
        <v>0</v>
      </c>
    </row>
    <row r="77" spans="5:23" ht="26.25" x14ac:dyDescent="0.4">
      <c r="E77" s="98" t="s">
        <v>68</v>
      </c>
      <c r="F77" s="98"/>
      <c r="G77" s="98"/>
      <c r="H77" s="98"/>
    </row>
    <row r="79" spans="5:23" x14ac:dyDescent="0.25">
      <c r="E79" s="22" t="s">
        <v>44</v>
      </c>
      <c r="F79" s="22" t="s">
        <v>45</v>
      </c>
      <c r="G79" s="22" t="s">
        <v>46</v>
      </c>
      <c r="H79" s="22" t="s">
        <v>47</v>
      </c>
      <c r="I79" s="22" t="s">
        <v>48</v>
      </c>
      <c r="J79" s="22" t="s">
        <v>49</v>
      </c>
      <c r="K79" s="22" t="s">
        <v>50</v>
      </c>
      <c r="L79" s="22" t="s">
        <v>51</v>
      </c>
      <c r="M79" s="22" t="s">
        <v>52</v>
      </c>
      <c r="N79" s="22" t="s">
        <v>53</v>
      </c>
      <c r="O79" s="22" t="s">
        <v>54</v>
      </c>
      <c r="P79" s="22" t="s">
        <v>55</v>
      </c>
      <c r="Q79" s="22" t="s">
        <v>56</v>
      </c>
      <c r="R79" s="68" t="s">
        <v>57</v>
      </c>
      <c r="S79" s="22" t="s">
        <v>58</v>
      </c>
      <c r="T79" s="22" t="s">
        <v>66</v>
      </c>
      <c r="U79" s="2" t="s">
        <v>63</v>
      </c>
      <c r="V79" s="59" t="s">
        <v>64</v>
      </c>
      <c r="W79" s="4" t="s">
        <v>65</v>
      </c>
    </row>
    <row r="80" spans="5:23" hidden="1" x14ac:dyDescent="0.25">
      <c r="E80" t="s">
        <v>29</v>
      </c>
      <c r="F80" t="s">
        <v>180</v>
      </c>
      <c r="G80" t="s">
        <v>181</v>
      </c>
      <c r="H80" s="84" t="s">
        <v>182</v>
      </c>
      <c r="I80" t="s">
        <v>176</v>
      </c>
      <c r="J80" t="s">
        <v>16</v>
      </c>
      <c r="K80" t="s">
        <v>16</v>
      </c>
      <c r="L80" s="1">
        <v>45949</v>
      </c>
      <c r="N80" t="s">
        <v>14</v>
      </c>
      <c r="S80" t="s">
        <v>67</v>
      </c>
      <c r="T80" s="1"/>
      <c r="U80">
        <v>1</v>
      </c>
      <c r="V80">
        <v>1</v>
      </c>
      <c r="W80">
        <v>0</v>
      </c>
    </row>
    <row r="81" spans="5:23" hidden="1" x14ac:dyDescent="0.25">
      <c r="E81" t="s">
        <v>29</v>
      </c>
      <c r="F81" t="s">
        <v>180</v>
      </c>
      <c r="G81" s="70">
        <v>6030</v>
      </c>
      <c r="H81" s="84" t="s">
        <v>263</v>
      </c>
      <c r="I81" t="s">
        <v>91</v>
      </c>
      <c r="J81" t="s">
        <v>16</v>
      </c>
      <c r="K81" t="s">
        <v>16</v>
      </c>
      <c r="L81" s="1">
        <v>45949</v>
      </c>
      <c r="N81" t="s">
        <v>12</v>
      </c>
      <c r="S81" t="s">
        <v>67</v>
      </c>
      <c r="T81" s="1"/>
      <c r="U81">
        <v>1</v>
      </c>
      <c r="V81">
        <v>1</v>
      </c>
      <c r="W81">
        <v>0</v>
      </c>
    </row>
    <row r="82" spans="5:23" hidden="1" x14ac:dyDescent="0.25">
      <c r="E82" t="s">
        <v>29</v>
      </c>
      <c r="F82" t="s">
        <v>180</v>
      </c>
      <c r="G82" s="70">
        <v>2900</v>
      </c>
      <c r="H82" s="84" t="s">
        <v>264</v>
      </c>
      <c r="I82" t="s">
        <v>91</v>
      </c>
      <c r="J82" t="s">
        <v>16</v>
      </c>
      <c r="K82" t="s">
        <v>16</v>
      </c>
      <c r="L82" s="1">
        <v>45949</v>
      </c>
      <c r="N82" t="s">
        <v>14</v>
      </c>
      <c r="S82" t="s">
        <v>67</v>
      </c>
      <c r="T82" s="1"/>
      <c r="U82">
        <v>1</v>
      </c>
      <c r="V82">
        <v>1</v>
      </c>
      <c r="W82">
        <v>0</v>
      </c>
    </row>
    <row r="83" spans="5:23" x14ac:dyDescent="0.25">
      <c r="E83" t="s">
        <v>29</v>
      </c>
      <c r="F83" t="s">
        <v>215</v>
      </c>
      <c r="G83" t="s">
        <v>262</v>
      </c>
      <c r="H83" s="84" t="s">
        <v>265</v>
      </c>
      <c r="I83" t="s">
        <v>91</v>
      </c>
      <c r="J83" t="s">
        <v>16</v>
      </c>
      <c r="K83" t="s">
        <v>16</v>
      </c>
      <c r="L83" s="1">
        <v>45949</v>
      </c>
      <c r="N83" t="s">
        <v>12</v>
      </c>
      <c r="S83" t="s">
        <v>61</v>
      </c>
      <c r="T83" s="1"/>
      <c r="U83">
        <v>1</v>
      </c>
      <c r="V83">
        <v>0</v>
      </c>
      <c r="W83">
        <v>1</v>
      </c>
    </row>
    <row r="84" spans="5:23" hidden="1" x14ac:dyDescent="0.25">
      <c r="E84" t="s">
        <v>28</v>
      </c>
      <c r="F84" t="s">
        <v>141</v>
      </c>
      <c r="G84" t="s">
        <v>223</v>
      </c>
      <c r="H84" s="84" t="s">
        <v>266</v>
      </c>
      <c r="I84" t="s">
        <v>91</v>
      </c>
      <c r="J84" t="s">
        <v>16</v>
      </c>
      <c r="K84" t="s">
        <v>16</v>
      </c>
      <c r="L84" s="1">
        <v>45949</v>
      </c>
      <c r="N84" t="s">
        <v>14</v>
      </c>
      <c r="S84" t="s">
        <v>61</v>
      </c>
      <c r="T84" s="1"/>
      <c r="U84">
        <v>1</v>
      </c>
      <c r="V84">
        <v>0</v>
      </c>
      <c r="W84">
        <v>1</v>
      </c>
    </row>
    <row r="85" spans="5:23" x14ac:dyDescent="0.25">
      <c r="L85" s="1"/>
      <c r="U85" s="2">
        <f>SUBTOTAL(109,Tableau245[rec])</f>
        <v>1</v>
      </c>
      <c r="V85" s="59">
        <f>SUBTOTAL(109,Tableau245[re])</f>
        <v>0</v>
      </c>
      <c r="W85" s="4">
        <f>SUBTOTAL(109,Tableau245[nr])</f>
        <v>1</v>
      </c>
    </row>
    <row r="88" spans="5:23" ht="26.25" x14ac:dyDescent="0.4">
      <c r="E88" s="98" t="s">
        <v>69</v>
      </c>
      <c r="F88" s="98"/>
      <c r="G88" s="98"/>
      <c r="H88" s="98"/>
    </row>
    <row r="90" spans="5:23" x14ac:dyDescent="0.25">
      <c r="E90" s="22" t="s">
        <v>44</v>
      </c>
      <c r="F90" s="22" t="s">
        <v>45</v>
      </c>
      <c r="G90" s="22" t="s">
        <v>46</v>
      </c>
      <c r="H90" s="22" t="s">
        <v>47</v>
      </c>
      <c r="I90" s="22" t="s">
        <v>48</v>
      </c>
      <c r="J90" s="22" t="s">
        <v>49</v>
      </c>
      <c r="K90" s="22" t="s">
        <v>50</v>
      </c>
      <c r="L90" s="22" t="s">
        <v>51</v>
      </c>
      <c r="M90" s="22" t="s">
        <v>52</v>
      </c>
      <c r="N90" s="22" t="s">
        <v>53</v>
      </c>
      <c r="O90" s="22" t="s">
        <v>54</v>
      </c>
      <c r="P90" s="22" t="s">
        <v>55</v>
      </c>
      <c r="Q90" s="22" t="s">
        <v>56</v>
      </c>
      <c r="R90" s="68" t="s">
        <v>57</v>
      </c>
      <c r="S90" s="22" t="s">
        <v>58</v>
      </c>
      <c r="T90" s="22" t="s">
        <v>66</v>
      </c>
      <c r="U90" s="2" t="s">
        <v>63</v>
      </c>
      <c r="V90" s="3" t="s">
        <v>64</v>
      </c>
      <c r="W90" s="4" t="s">
        <v>65</v>
      </c>
    </row>
    <row r="91" spans="5:23" hidden="1" x14ac:dyDescent="0.25">
      <c r="E91" t="s">
        <v>28</v>
      </c>
      <c r="F91" t="s">
        <v>223</v>
      </c>
      <c r="G91" t="s">
        <v>141</v>
      </c>
      <c r="H91" s="84" t="s">
        <v>224</v>
      </c>
      <c r="I91" t="s">
        <v>26</v>
      </c>
      <c r="J91" t="s">
        <v>16</v>
      </c>
      <c r="K91" t="s">
        <v>225</v>
      </c>
      <c r="L91" s="1">
        <v>45949</v>
      </c>
      <c r="N91" t="s">
        <v>12</v>
      </c>
      <c r="S91" t="s">
        <v>67</v>
      </c>
      <c r="T91" s="1"/>
      <c r="U91">
        <v>1</v>
      </c>
      <c r="V91">
        <v>1</v>
      </c>
      <c r="W91">
        <v>0</v>
      </c>
    </row>
    <row r="92" spans="5:23" hidden="1" x14ac:dyDescent="0.25">
      <c r="E92" t="s">
        <v>28</v>
      </c>
      <c r="F92" t="s">
        <v>141</v>
      </c>
      <c r="G92" t="s">
        <v>223</v>
      </c>
      <c r="H92" s="84" t="s">
        <v>226</v>
      </c>
      <c r="I92" t="s">
        <v>26</v>
      </c>
      <c r="J92" t="s">
        <v>16</v>
      </c>
      <c r="K92" t="s">
        <v>225</v>
      </c>
      <c r="L92" s="1">
        <v>45949</v>
      </c>
      <c r="N92" t="s">
        <v>14</v>
      </c>
      <c r="O92" t="s">
        <v>303</v>
      </c>
      <c r="P92" t="s">
        <v>304</v>
      </c>
      <c r="Q92" t="s">
        <v>305</v>
      </c>
      <c r="S92" t="s">
        <v>67</v>
      </c>
      <c r="T92" s="1"/>
      <c r="U92">
        <v>1</v>
      </c>
      <c r="V92">
        <v>1</v>
      </c>
      <c r="W92">
        <v>0</v>
      </c>
    </row>
    <row r="93" spans="5:23" hidden="1" x14ac:dyDescent="0.25">
      <c r="E93" t="s">
        <v>28</v>
      </c>
      <c r="F93" t="s">
        <v>227</v>
      </c>
      <c r="H93" s="84" t="s">
        <v>228</v>
      </c>
      <c r="I93" t="s">
        <v>26</v>
      </c>
      <c r="J93" t="s">
        <v>16</v>
      </c>
      <c r="K93" t="s">
        <v>225</v>
      </c>
      <c r="L93" s="1">
        <v>45949</v>
      </c>
      <c r="N93" t="s">
        <v>12</v>
      </c>
      <c r="S93" t="s">
        <v>67</v>
      </c>
      <c r="T93" s="1"/>
      <c r="U93">
        <v>1</v>
      </c>
      <c r="V93">
        <v>1</v>
      </c>
      <c r="W93">
        <v>0</v>
      </c>
    </row>
    <row r="94" spans="5:23" hidden="1" x14ac:dyDescent="0.25">
      <c r="E94" t="s">
        <v>29</v>
      </c>
      <c r="F94" t="s">
        <v>229</v>
      </c>
      <c r="G94" t="s">
        <v>230</v>
      </c>
      <c r="H94" s="84" t="s">
        <v>233</v>
      </c>
      <c r="I94" t="s">
        <v>26</v>
      </c>
      <c r="J94" t="s">
        <v>16</v>
      </c>
      <c r="K94" t="s">
        <v>225</v>
      </c>
      <c r="L94" s="1">
        <v>45949</v>
      </c>
      <c r="N94" t="s">
        <v>14</v>
      </c>
      <c r="S94" t="s">
        <v>67</v>
      </c>
      <c r="T94" s="1"/>
      <c r="U94">
        <v>1</v>
      </c>
      <c r="V94">
        <v>1</v>
      </c>
      <c r="W94">
        <v>0</v>
      </c>
    </row>
    <row r="95" spans="5:23" hidden="1" x14ac:dyDescent="0.25">
      <c r="E95" t="s">
        <v>29</v>
      </c>
      <c r="F95" t="s">
        <v>229</v>
      </c>
      <c r="G95" t="s">
        <v>230</v>
      </c>
      <c r="H95" s="84" t="s">
        <v>234</v>
      </c>
      <c r="I95" t="s">
        <v>26</v>
      </c>
      <c r="J95" t="s">
        <v>16</v>
      </c>
      <c r="K95" t="s">
        <v>225</v>
      </c>
      <c r="L95" s="1">
        <v>45949</v>
      </c>
      <c r="N95" t="s">
        <v>12</v>
      </c>
      <c r="S95" t="s">
        <v>67</v>
      </c>
      <c r="T95" s="1"/>
      <c r="U95">
        <v>1</v>
      </c>
      <c r="V95">
        <v>1</v>
      </c>
      <c r="W95">
        <v>0</v>
      </c>
    </row>
    <row r="96" spans="5:23" hidden="1" x14ac:dyDescent="0.25">
      <c r="E96" t="s">
        <v>29</v>
      </c>
      <c r="F96" t="s">
        <v>229</v>
      </c>
      <c r="G96" t="s">
        <v>230</v>
      </c>
      <c r="H96" s="84" t="s">
        <v>235</v>
      </c>
      <c r="I96" t="s">
        <v>26</v>
      </c>
      <c r="J96" t="s">
        <v>16</v>
      </c>
      <c r="K96" t="s">
        <v>225</v>
      </c>
      <c r="L96" s="1">
        <v>45949</v>
      </c>
      <c r="N96" t="s">
        <v>14</v>
      </c>
      <c r="S96" t="s">
        <v>67</v>
      </c>
      <c r="T96" s="1"/>
      <c r="U96">
        <v>1</v>
      </c>
      <c r="V96">
        <v>1</v>
      </c>
      <c r="W96">
        <v>0</v>
      </c>
    </row>
    <row r="97" spans="5:23" hidden="1" x14ac:dyDescent="0.25">
      <c r="E97" t="s">
        <v>29</v>
      </c>
      <c r="F97" t="s">
        <v>229</v>
      </c>
      <c r="G97" t="s">
        <v>230</v>
      </c>
      <c r="H97" s="84" t="s">
        <v>236</v>
      </c>
      <c r="I97" t="s">
        <v>26</v>
      </c>
      <c r="J97" t="s">
        <v>16</v>
      </c>
      <c r="K97" t="s">
        <v>225</v>
      </c>
      <c r="L97" s="1">
        <v>45949</v>
      </c>
      <c r="N97" t="s">
        <v>12</v>
      </c>
      <c r="S97" t="s">
        <v>67</v>
      </c>
      <c r="T97" s="1"/>
      <c r="U97">
        <v>1</v>
      </c>
      <c r="V97">
        <v>1</v>
      </c>
      <c r="W97">
        <v>0</v>
      </c>
    </row>
    <row r="98" spans="5:23" hidden="1" x14ac:dyDescent="0.25">
      <c r="E98" t="s">
        <v>29</v>
      </c>
      <c r="F98" t="s">
        <v>229</v>
      </c>
      <c r="G98" t="s">
        <v>230</v>
      </c>
      <c r="H98" s="84" t="s">
        <v>237</v>
      </c>
      <c r="I98" t="s">
        <v>26</v>
      </c>
      <c r="J98" t="s">
        <v>16</v>
      </c>
      <c r="K98" t="s">
        <v>225</v>
      </c>
      <c r="L98" s="1">
        <v>45949</v>
      </c>
      <c r="N98" t="s">
        <v>14</v>
      </c>
      <c r="S98" t="s">
        <v>67</v>
      </c>
      <c r="T98" s="1"/>
      <c r="U98">
        <v>1</v>
      </c>
      <c r="V98">
        <v>1</v>
      </c>
      <c r="W98">
        <v>0</v>
      </c>
    </row>
    <row r="99" spans="5:23" hidden="1" x14ac:dyDescent="0.25">
      <c r="E99" t="s">
        <v>29</v>
      </c>
      <c r="F99" t="s">
        <v>229</v>
      </c>
      <c r="G99" t="s">
        <v>230</v>
      </c>
      <c r="H99" s="84" t="s">
        <v>238</v>
      </c>
      <c r="I99" t="s">
        <v>26</v>
      </c>
      <c r="J99" t="s">
        <v>16</v>
      </c>
      <c r="K99" t="s">
        <v>225</v>
      </c>
      <c r="L99" s="1">
        <v>45949</v>
      </c>
      <c r="N99" t="s">
        <v>12</v>
      </c>
      <c r="S99" t="s">
        <v>67</v>
      </c>
      <c r="T99" s="1"/>
      <c r="U99">
        <v>1</v>
      </c>
      <c r="V99">
        <v>1</v>
      </c>
      <c r="W99">
        <v>0</v>
      </c>
    </row>
    <row r="100" spans="5:23" hidden="1" x14ac:dyDescent="0.25">
      <c r="E100" t="s">
        <v>29</v>
      </c>
      <c r="F100" t="s">
        <v>229</v>
      </c>
      <c r="G100" t="s">
        <v>230</v>
      </c>
      <c r="H100" s="84" t="s">
        <v>239</v>
      </c>
      <c r="I100" t="s">
        <v>26</v>
      </c>
      <c r="J100" t="s">
        <v>16</v>
      </c>
      <c r="K100" t="s">
        <v>225</v>
      </c>
      <c r="L100" s="1">
        <v>45949</v>
      </c>
      <c r="N100" t="s">
        <v>14</v>
      </c>
      <c r="S100" t="s">
        <v>67</v>
      </c>
      <c r="T100" s="1"/>
      <c r="U100">
        <v>1</v>
      </c>
      <c r="V100">
        <v>1</v>
      </c>
      <c r="W100">
        <v>0</v>
      </c>
    </row>
    <row r="101" spans="5:23" x14ac:dyDescent="0.25">
      <c r="E101" t="s">
        <v>307</v>
      </c>
      <c r="F101" t="s">
        <v>229</v>
      </c>
      <c r="G101" t="s">
        <v>231</v>
      </c>
      <c r="H101" s="84" t="s">
        <v>240</v>
      </c>
      <c r="I101" t="s">
        <v>26</v>
      </c>
      <c r="J101" t="s">
        <v>16</v>
      </c>
      <c r="K101" t="s">
        <v>225</v>
      </c>
      <c r="L101" s="1">
        <v>45949</v>
      </c>
      <c r="N101" t="s">
        <v>12</v>
      </c>
      <c r="S101" t="s">
        <v>61</v>
      </c>
      <c r="T101" s="1"/>
      <c r="U101">
        <v>1</v>
      </c>
      <c r="V101">
        <v>0</v>
      </c>
      <c r="W101">
        <v>1</v>
      </c>
    </row>
    <row r="102" spans="5:23" hidden="1" x14ac:dyDescent="0.25">
      <c r="E102" t="s">
        <v>29</v>
      </c>
      <c r="F102" t="s">
        <v>215</v>
      </c>
      <c r="G102" t="s">
        <v>232</v>
      </c>
      <c r="H102" s="84" t="s">
        <v>241</v>
      </c>
      <c r="I102" t="s">
        <v>26</v>
      </c>
      <c r="J102" t="s">
        <v>16</v>
      </c>
      <c r="K102" t="s">
        <v>225</v>
      </c>
      <c r="L102" s="1">
        <v>45949</v>
      </c>
      <c r="N102" t="s">
        <v>14</v>
      </c>
      <c r="S102" t="s">
        <v>67</v>
      </c>
      <c r="T102" s="1"/>
      <c r="U102">
        <v>1</v>
      </c>
      <c r="V102">
        <v>1</v>
      </c>
      <c r="W102">
        <v>0</v>
      </c>
    </row>
    <row r="103" spans="5:23" hidden="1" x14ac:dyDescent="0.25">
      <c r="E103" t="s">
        <v>28</v>
      </c>
      <c r="F103" t="s">
        <v>183</v>
      </c>
      <c r="G103" t="s">
        <v>242</v>
      </c>
      <c r="H103" s="84" t="s">
        <v>243</v>
      </c>
      <c r="I103" t="s">
        <v>26</v>
      </c>
      <c r="J103" t="s">
        <v>16</v>
      </c>
      <c r="K103" t="s">
        <v>225</v>
      </c>
      <c r="L103" s="1">
        <v>45949</v>
      </c>
      <c r="N103" t="s">
        <v>12</v>
      </c>
      <c r="S103" t="s">
        <v>67</v>
      </c>
      <c r="T103" s="1"/>
      <c r="U103">
        <v>1</v>
      </c>
      <c r="V103">
        <v>1</v>
      </c>
      <c r="W103">
        <v>0</v>
      </c>
    </row>
    <row r="104" spans="5:23" x14ac:dyDescent="0.25">
      <c r="L104" s="1"/>
      <c r="U104" s="2">
        <f>SUBTOTAL(109,Tableau2456[rec])</f>
        <v>1</v>
      </c>
      <c r="V104" s="3">
        <f>SUBTOTAL(109,Tableau2456[re])</f>
        <v>0</v>
      </c>
      <c r="W104" s="4">
        <f>SUBTOTAL(109,Tableau2456[nr])</f>
        <v>1</v>
      </c>
    </row>
  </sheetData>
  <mergeCells count="4">
    <mergeCell ref="E2:H2"/>
    <mergeCell ref="E67:H67"/>
    <mergeCell ref="E77:H77"/>
    <mergeCell ref="E88:H88"/>
  </mergeCells>
  <dataValidations count="9">
    <dataValidation type="list" allowBlank="1" showInputMessage="1" showErrorMessage="1" sqref="E70:E73 E6:E60 E91:E103 E80:E84">
      <formula1>info</formula1>
    </dataValidation>
    <dataValidation type="list" allowBlank="1" showInputMessage="1" showErrorMessage="1" sqref="J70:J73 J6:J60 J91:J103 J80:J84">
      <formula1>wilaya</formula1>
    </dataValidation>
    <dataValidation type="list" allowBlank="1" showInputMessage="1" showErrorMessage="1" sqref="S70:S73 S91:S103 S80:S84 S6:S60">
      <formula1>"oui,non"</formula1>
    </dataValidation>
    <dataValidation type="list" allowBlank="1" showInputMessage="1" showErrorMessage="1" sqref="N70:N73 N6:N60 N91:N103 N80:N84">
      <formula1>tech</formula1>
    </dataValidation>
    <dataValidation type="list" allowBlank="1" showInputMessage="1" showErrorMessage="1" sqref="P70:P73 P6:P60 P91:P103 P80:P84">
      <formula1>pdr</formula1>
    </dataValidation>
    <dataValidation type="list" allowBlank="1" showInputMessage="1" showErrorMessage="1" sqref="I70:I73">
      <formula1>cem</formula1>
    </dataValidation>
    <dataValidation type="list" allowBlank="1" showInputMessage="1" showErrorMessage="1" sqref="I6:I60">
      <formula1>ep</formula1>
    </dataValidation>
    <dataValidation type="list" allowBlank="1" showInputMessage="1" showErrorMessage="1" sqref="I91:I103">
      <formula1>dr</formula1>
    </dataValidation>
    <dataValidation type="list" allowBlank="1" showInputMessage="1" showErrorMessage="1" sqref="I80:I84">
      <formula1>lyc</formula1>
    </dataValidation>
  </dataValidations>
  <pageMargins left="0.7" right="0.7" top="0.75" bottom="0.75" header="0.3" footer="0.3"/>
  <pageSetup paperSize="9" orientation="portrait" r:id="rId1"/>
  <drawing r:id="rId2"/>
  <tableParts count="4">
    <tablePart r:id="rId3"/>
    <tablePart r:id="rId4"/>
    <tablePart r:id="rId5"/>
    <tablePart r:id="rId6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7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BF66"/>
  </sheetPr>
  <dimension ref="A1:W45"/>
  <sheetViews>
    <sheetView topLeftCell="D25" zoomScale="90" zoomScaleNormal="90" workbookViewId="0">
      <selection activeCell="I43" sqref="I43"/>
    </sheetView>
  </sheetViews>
  <sheetFormatPr baseColWidth="10" defaultColWidth="9.140625" defaultRowHeight="15" x14ac:dyDescent="0.25"/>
  <cols>
    <col min="1" max="3" width="9.140625" style="24"/>
    <col min="5" max="5" width="15.42578125" customWidth="1"/>
    <col min="6" max="6" width="12.42578125" customWidth="1"/>
    <col min="7" max="7" width="12.140625" customWidth="1"/>
    <col min="8" max="8" width="13.42578125" customWidth="1"/>
    <col min="9" max="9" width="18.5703125" customWidth="1"/>
    <col min="10" max="10" width="11.140625" customWidth="1"/>
    <col min="12" max="12" width="12.140625" customWidth="1"/>
    <col min="14" max="14" width="18.85546875" customWidth="1"/>
    <col min="20" max="20" width="12" customWidth="1"/>
    <col min="21" max="21" width="5.85546875" customWidth="1"/>
    <col min="22" max="22" width="5.140625" customWidth="1"/>
    <col min="23" max="23" width="5.5703125" customWidth="1"/>
  </cols>
  <sheetData>
    <row r="1" spans="5:23" x14ac:dyDescent="0.25">
      <c r="J1" s="30">
        <f>Tableau27[[#Totals],[rec]]+Tableau248[[#Totals],[rec]]+Tableau2459[[#Totals],[rec]]+Tableau245610[[#Totals],[rec]]</f>
        <v>13</v>
      </c>
      <c r="K1" s="57">
        <f>Tableau27[[#Totals],[re]]+Tableau248[[#Totals],[re]]+Tableau2459[[#Totals],[re]]+Tableau245610[[#Totals],[re]]</f>
        <v>8</v>
      </c>
      <c r="L1" s="31">
        <f>Tableau27[[#Totals],[nr]]+Tableau248[[#Totals],[nr]]+Tableau2459[[#Totals],[nr]]+Tableau245610[[#Totals],[nr]]</f>
        <v>5</v>
      </c>
    </row>
    <row r="2" spans="5:23" ht="18.75" x14ac:dyDescent="0.3">
      <c r="E2" s="99"/>
      <c r="F2" s="99"/>
      <c r="G2" s="99"/>
      <c r="H2" s="99"/>
      <c r="J2" s="32" t="s">
        <v>72</v>
      </c>
      <c r="K2" s="58" t="s">
        <v>73</v>
      </c>
      <c r="L2" s="33" t="s">
        <v>74</v>
      </c>
    </row>
    <row r="3" spans="5:23" ht="23.25" x14ac:dyDescent="0.35">
      <c r="E3" s="100" t="s">
        <v>43</v>
      </c>
      <c r="F3" s="100"/>
      <c r="G3" s="100"/>
      <c r="H3" s="100"/>
    </row>
    <row r="5" spans="5:23" x14ac:dyDescent="0.25">
      <c r="E5" s="25" t="s">
        <v>44</v>
      </c>
      <c r="F5" s="25" t="s">
        <v>45</v>
      </c>
      <c r="G5" s="25" t="s">
        <v>46</v>
      </c>
      <c r="H5" s="25" t="s">
        <v>47</v>
      </c>
      <c r="I5" s="25" t="s">
        <v>48</v>
      </c>
      <c r="J5" s="25" t="s">
        <v>49</v>
      </c>
      <c r="K5" s="25" t="s">
        <v>50</v>
      </c>
      <c r="L5" s="25" t="s">
        <v>51</v>
      </c>
      <c r="M5" s="25" t="s">
        <v>52</v>
      </c>
      <c r="N5" s="25" t="s">
        <v>53</v>
      </c>
      <c r="O5" s="25" t="s">
        <v>54</v>
      </c>
      <c r="P5" s="25" t="s">
        <v>55</v>
      </c>
      <c r="Q5" s="25" t="s">
        <v>56</v>
      </c>
      <c r="R5" s="25" t="s">
        <v>57</v>
      </c>
      <c r="S5" s="25" t="s">
        <v>58</v>
      </c>
      <c r="T5" s="25" t="s">
        <v>66</v>
      </c>
      <c r="U5" s="6" t="s">
        <v>63</v>
      </c>
      <c r="V5" s="61" t="s">
        <v>64</v>
      </c>
      <c r="W5" s="5" t="s">
        <v>65</v>
      </c>
    </row>
    <row r="6" spans="5:23" x14ac:dyDescent="0.25">
      <c r="E6" t="s">
        <v>34</v>
      </c>
      <c r="F6" t="s">
        <v>103</v>
      </c>
      <c r="G6" t="s">
        <v>104</v>
      </c>
      <c r="H6" s="84" t="s">
        <v>105</v>
      </c>
      <c r="I6" t="s">
        <v>92</v>
      </c>
      <c r="J6" t="s">
        <v>16</v>
      </c>
      <c r="K6" t="s">
        <v>106</v>
      </c>
      <c r="L6" s="1">
        <v>45953</v>
      </c>
      <c r="N6" t="s">
        <v>10</v>
      </c>
      <c r="O6" t="s">
        <v>88</v>
      </c>
      <c r="S6" t="s">
        <v>67</v>
      </c>
      <c r="T6" s="1">
        <v>45953</v>
      </c>
      <c r="U6">
        <v>1</v>
      </c>
      <c r="V6">
        <v>1</v>
      </c>
      <c r="W6">
        <v>0</v>
      </c>
    </row>
    <row r="7" spans="5:23" x14ac:dyDescent="0.25">
      <c r="E7" t="s">
        <v>34</v>
      </c>
      <c r="F7" t="s">
        <v>103</v>
      </c>
      <c r="G7" t="s">
        <v>221</v>
      </c>
      <c r="H7" s="84" t="s">
        <v>222</v>
      </c>
      <c r="I7" t="s">
        <v>220</v>
      </c>
      <c r="J7" t="s">
        <v>16</v>
      </c>
      <c r="K7" t="s">
        <v>155</v>
      </c>
      <c r="L7" s="1">
        <v>45951</v>
      </c>
      <c r="N7" t="s">
        <v>7</v>
      </c>
      <c r="S7" t="s">
        <v>67</v>
      </c>
      <c r="T7" s="1">
        <v>45953</v>
      </c>
      <c r="U7">
        <v>1</v>
      </c>
      <c r="V7">
        <v>1</v>
      </c>
      <c r="W7">
        <v>0</v>
      </c>
    </row>
    <row r="8" spans="5:23" x14ac:dyDescent="0.25">
      <c r="L8" s="1"/>
      <c r="T8" s="1"/>
      <c r="U8">
        <v>0</v>
      </c>
      <c r="V8">
        <v>0</v>
      </c>
      <c r="W8">
        <v>0</v>
      </c>
    </row>
    <row r="9" spans="5:23" x14ac:dyDescent="0.25">
      <c r="L9" s="1"/>
      <c r="T9" s="1"/>
      <c r="U9">
        <v>0</v>
      </c>
      <c r="V9">
        <v>0</v>
      </c>
      <c r="W9">
        <v>0</v>
      </c>
    </row>
    <row r="10" spans="5:23" x14ac:dyDescent="0.25">
      <c r="L10" s="1"/>
      <c r="U10" s="34">
        <f>SUBTOTAL(109,Tableau27[rec])</f>
        <v>2</v>
      </c>
      <c r="V10" s="59">
        <f>SUBTOTAL(109,Tableau27[re])</f>
        <v>2</v>
      </c>
      <c r="W10" s="29">
        <f>SUBTOTAL(109,Tableau27[nr])</f>
        <v>0</v>
      </c>
    </row>
    <row r="16" spans="5:23" ht="23.25" x14ac:dyDescent="0.35">
      <c r="E16" s="100" t="s">
        <v>62</v>
      </c>
      <c r="F16" s="100"/>
      <c r="G16" s="100"/>
      <c r="H16" s="100"/>
    </row>
    <row r="18" spans="5:23" x14ac:dyDescent="0.25">
      <c r="E18" s="25" t="s">
        <v>44</v>
      </c>
      <c r="F18" s="25" t="s">
        <v>45</v>
      </c>
      <c r="G18" s="25" t="s">
        <v>46</v>
      </c>
      <c r="H18" s="25" t="s">
        <v>47</v>
      </c>
      <c r="I18" s="25" t="s">
        <v>48</v>
      </c>
      <c r="J18" s="25" t="s">
        <v>49</v>
      </c>
      <c r="K18" s="25" t="s">
        <v>50</v>
      </c>
      <c r="L18" s="25" t="s">
        <v>51</v>
      </c>
      <c r="M18" s="25" t="s">
        <v>52</v>
      </c>
      <c r="N18" s="25" t="s">
        <v>53</v>
      </c>
      <c r="O18" s="25" t="s">
        <v>54</v>
      </c>
      <c r="P18" s="25" t="s">
        <v>55</v>
      </c>
      <c r="Q18" s="25" t="s">
        <v>56</v>
      </c>
      <c r="R18" s="25" t="s">
        <v>57</v>
      </c>
      <c r="S18" s="25" t="s">
        <v>58</v>
      </c>
      <c r="T18" s="25" t="s">
        <v>66</v>
      </c>
      <c r="U18" s="2" t="s">
        <v>63</v>
      </c>
      <c r="V18" s="59" t="s">
        <v>64</v>
      </c>
      <c r="W18" s="4" t="s">
        <v>65</v>
      </c>
    </row>
    <row r="19" spans="5:23" x14ac:dyDescent="0.25">
      <c r="E19" t="s">
        <v>35</v>
      </c>
      <c r="F19" t="s">
        <v>190</v>
      </c>
      <c r="G19" t="s">
        <v>191</v>
      </c>
      <c r="H19" s="84" t="s">
        <v>192</v>
      </c>
      <c r="I19" t="s">
        <v>189</v>
      </c>
      <c r="J19" t="s">
        <v>16</v>
      </c>
      <c r="K19" t="s">
        <v>193</v>
      </c>
      <c r="L19" s="1">
        <v>45950</v>
      </c>
      <c r="N19" t="s">
        <v>7</v>
      </c>
      <c r="S19" t="s">
        <v>61</v>
      </c>
      <c r="T19" s="1" t="s">
        <v>194</v>
      </c>
      <c r="U19">
        <v>1</v>
      </c>
      <c r="V19">
        <v>0</v>
      </c>
      <c r="W19">
        <v>1</v>
      </c>
    </row>
    <row r="20" spans="5:23" x14ac:dyDescent="0.25">
      <c r="E20" t="s">
        <v>34</v>
      </c>
      <c r="F20" t="s">
        <v>190</v>
      </c>
      <c r="G20" t="s">
        <v>195</v>
      </c>
      <c r="H20" s="84" t="s">
        <v>196</v>
      </c>
      <c r="I20" t="s">
        <v>189</v>
      </c>
      <c r="J20" t="s">
        <v>16</v>
      </c>
      <c r="K20" t="s">
        <v>193</v>
      </c>
      <c r="L20" s="1">
        <v>45950</v>
      </c>
      <c r="N20" t="s">
        <v>10</v>
      </c>
      <c r="S20" t="s">
        <v>67</v>
      </c>
      <c r="T20" s="1" t="s">
        <v>194</v>
      </c>
      <c r="U20">
        <v>1</v>
      </c>
      <c r="V20">
        <v>1</v>
      </c>
      <c r="W20">
        <v>0</v>
      </c>
    </row>
    <row r="21" spans="5:23" x14ac:dyDescent="0.25">
      <c r="L21" s="1"/>
      <c r="T21" s="1"/>
      <c r="U21">
        <v>0</v>
      </c>
      <c r="V21">
        <v>0</v>
      </c>
      <c r="W21">
        <v>0</v>
      </c>
    </row>
    <row r="22" spans="5:23" x14ac:dyDescent="0.25">
      <c r="L22" s="1"/>
      <c r="T22" s="1"/>
      <c r="U22">
        <v>0</v>
      </c>
      <c r="V22">
        <v>0</v>
      </c>
      <c r="W22">
        <v>0</v>
      </c>
    </row>
    <row r="23" spans="5:23" x14ac:dyDescent="0.25">
      <c r="L23" s="1"/>
      <c r="U23" s="35">
        <f>SUBTOTAL(109,Tableau248[rec])</f>
        <v>2</v>
      </c>
      <c r="V23" s="59">
        <f>SUBTOTAL(109,Tableau248[re])</f>
        <v>1</v>
      </c>
      <c r="W23" s="29">
        <f>SUBTOTAL(109,Tableau248[nr])</f>
        <v>1</v>
      </c>
    </row>
    <row r="26" spans="5:23" ht="23.25" x14ac:dyDescent="0.35">
      <c r="E26" s="100" t="s">
        <v>68</v>
      </c>
      <c r="F26" s="100"/>
      <c r="G26" s="100"/>
      <c r="H26" s="100"/>
    </row>
    <row r="28" spans="5:23" x14ac:dyDescent="0.25">
      <c r="E28" s="25" t="s">
        <v>44</v>
      </c>
      <c r="F28" s="25" t="s">
        <v>45</v>
      </c>
      <c r="G28" s="25" t="s">
        <v>46</v>
      </c>
      <c r="H28" s="25" t="s">
        <v>47</v>
      </c>
      <c r="I28" s="25" t="s">
        <v>48</v>
      </c>
      <c r="J28" s="25" t="s">
        <v>49</v>
      </c>
      <c r="K28" s="25" t="s">
        <v>50</v>
      </c>
      <c r="L28" s="25" t="s">
        <v>51</v>
      </c>
      <c r="M28" s="25" t="s">
        <v>52</v>
      </c>
      <c r="N28" s="25" t="s">
        <v>53</v>
      </c>
      <c r="O28" s="25" t="s">
        <v>54</v>
      </c>
      <c r="P28" s="25" t="s">
        <v>55</v>
      </c>
      <c r="Q28" s="25" t="s">
        <v>56</v>
      </c>
      <c r="R28" s="25" t="s">
        <v>57</v>
      </c>
      <c r="S28" s="25" t="s">
        <v>58</v>
      </c>
      <c r="T28" s="25" t="s">
        <v>66</v>
      </c>
      <c r="U28" s="2" t="s">
        <v>63</v>
      </c>
      <c r="V28" s="59" t="s">
        <v>64</v>
      </c>
      <c r="W28" s="4" t="s">
        <v>65</v>
      </c>
    </row>
    <row r="29" spans="5:23" x14ac:dyDescent="0.25">
      <c r="E29" t="s">
        <v>34</v>
      </c>
      <c r="F29" t="s">
        <v>175</v>
      </c>
      <c r="G29" t="s">
        <v>174</v>
      </c>
      <c r="H29" s="84"/>
      <c r="I29" t="s">
        <v>176</v>
      </c>
      <c r="J29" t="s">
        <v>16</v>
      </c>
      <c r="K29" t="s">
        <v>177</v>
      </c>
      <c r="L29" s="1">
        <v>45949</v>
      </c>
      <c r="M29" t="s">
        <v>59</v>
      </c>
      <c r="N29" t="s">
        <v>10</v>
      </c>
      <c r="S29" t="s">
        <v>67</v>
      </c>
      <c r="T29" s="1"/>
      <c r="U29">
        <v>1</v>
      </c>
      <c r="V29">
        <v>1</v>
      </c>
      <c r="W29">
        <v>0</v>
      </c>
    </row>
    <row r="30" spans="5:23" x14ac:dyDescent="0.25">
      <c r="E30" t="s">
        <v>35</v>
      </c>
      <c r="F30" t="s">
        <v>178</v>
      </c>
      <c r="G30" t="s">
        <v>179</v>
      </c>
      <c r="H30" s="81" t="s">
        <v>188</v>
      </c>
      <c r="I30" t="s">
        <v>176</v>
      </c>
      <c r="J30" t="s">
        <v>16</v>
      </c>
      <c r="K30" t="s">
        <v>177</v>
      </c>
      <c r="L30" s="1">
        <v>45949</v>
      </c>
      <c r="N30" t="s">
        <v>7</v>
      </c>
      <c r="S30" t="s">
        <v>61</v>
      </c>
      <c r="T30" s="1"/>
      <c r="U30">
        <v>1</v>
      </c>
      <c r="V30">
        <v>0</v>
      </c>
      <c r="W30">
        <v>1</v>
      </c>
    </row>
    <row r="31" spans="5:23" x14ac:dyDescent="0.25">
      <c r="E31" t="s">
        <v>34</v>
      </c>
      <c r="F31" t="s">
        <v>103</v>
      </c>
      <c r="G31" t="s">
        <v>253</v>
      </c>
      <c r="H31" s="84"/>
      <c r="I31" t="s">
        <v>91</v>
      </c>
      <c r="J31" t="s">
        <v>16</v>
      </c>
      <c r="K31" t="s">
        <v>177</v>
      </c>
      <c r="L31" s="1">
        <v>45949</v>
      </c>
      <c r="N31" t="s">
        <v>10</v>
      </c>
      <c r="S31" t="s">
        <v>61</v>
      </c>
      <c r="T31" s="1"/>
      <c r="U31">
        <v>1</v>
      </c>
      <c r="V31">
        <v>0</v>
      </c>
      <c r="W31">
        <v>1</v>
      </c>
    </row>
    <row r="32" spans="5:23" x14ac:dyDescent="0.25">
      <c r="E32" t="s">
        <v>34</v>
      </c>
      <c r="F32" t="s">
        <v>254</v>
      </c>
      <c r="H32" s="84"/>
      <c r="I32" t="s">
        <v>91</v>
      </c>
      <c r="J32" t="s">
        <v>16</v>
      </c>
      <c r="K32" t="s">
        <v>177</v>
      </c>
      <c r="L32" s="1">
        <v>45949</v>
      </c>
      <c r="N32" t="s">
        <v>7</v>
      </c>
      <c r="S32" t="s">
        <v>61</v>
      </c>
      <c r="T32" s="1"/>
      <c r="U32">
        <v>1</v>
      </c>
      <c r="V32">
        <v>0</v>
      </c>
      <c r="W32">
        <v>1</v>
      </c>
    </row>
    <row r="33" spans="5:23" x14ac:dyDescent="0.25">
      <c r="L33" s="1"/>
      <c r="U33" s="35">
        <f>SUBTOTAL(109,Tableau2459[rec])</f>
        <v>4</v>
      </c>
      <c r="V33" s="59">
        <f>SUBTOTAL(109,Tableau2459[re])</f>
        <v>1</v>
      </c>
      <c r="W33" s="29">
        <f>SUBTOTAL(109,Tableau2459[nr])</f>
        <v>3</v>
      </c>
    </row>
    <row r="36" spans="5:23" ht="23.25" x14ac:dyDescent="0.35">
      <c r="E36" s="100" t="s">
        <v>69</v>
      </c>
      <c r="F36" s="100"/>
      <c r="G36" s="100"/>
      <c r="H36" s="100"/>
    </row>
    <row r="38" spans="5:23" x14ac:dyDescent="0.25">
      <c r="E38" s="25" t="s">
        <v>44</v>
      </c>
      <c r="F38" s="25" t="s">
        <v>45</v>
      </c>
      <c r="G38" s="25" t="s">
        <v>46</v>
      </c>
      <c r="H38" s="25" t="s">
        <v>47</v>
      </c>
      <c r="I38" s="25" t="s">
        <v>48</v>
      </c>
      <c r="J38" s="25" t="s">
        <v>49</v>
      </c>
      <c r="K38" s="25" t="s">
        <v>50</v>
      </c>
      <c r="L38" s="25" t="s">
        <v>51</v>
      </c>
      <c r="M38" s="25" t="s">
        <v>52</v>
      </c>
      <c r="N38" s="25" t="s">
        <v>53</v>
      </c>
      <c r="O38" s="25" t="s">
        <v>54</v>
      </c>
      <c r="P38" s="25" t="s">
        <v>55</v>
      </c>
      <c r="Q38" s="25" t="s">
        <v>56</v>
      </c>
      <c r="R38" s="25" t="s">
        <v>57</v>
      </c>
      <c r="S38" s="25" t="s">
        <v>58</v>
      </c>
      <c r="T38" s="25" t="s">
        <v>66</v>
      </c>
      <c r="U38" s="2" t="s">
        <v>63</v>
      </c>
      <c r="V38" s="59" t="s">
        <v>64</v>
      </c>
      <c r="W38" s="4" t="s">
        <v>65</v>
      </c>
    </row>
    <row r="39" spans="5:23" x14ac:dyDescent="0.25">
      <c r="E39" t="s">
        <v>34</v>
      </c>
      <c r="F39" t="s">
        <v>173</v>
      </c>
      <c r="G39" s="70">
        <v>180</v>
      </c>
      <c r="H39" s="84" t="s">
        <v>244</v>
      </c>
      <c r="I39" t="s">
        <v>26</v>
      </c>
      <c r="J39" t="s">
        <v>16</v>
      </c>
      <c r="K39" t="s">
        <v>16</v>
      </c>
      <c r="L39" s="1">
        <v>45949</v>
      </c>
      <c r="N39" t="s">
        <v>7</v>
      </c>
      <c r="S39" t="s">
        <v>61</v>
      </c>
      <c r="T39" s="1"/>
      <c r="U39">
        <v>1</v>
      </c>
      <c r="V39" s="59">
        <v>0</v>
      </c>
      <c r="W39">
        <v>1</v>
      </c>
    </row>
    <row r="40" spans="5:23" x14ac:dyDescent="0.25">
      <c r="E40" t="s">
        <v>34</v>
      </c>
      <c r="F40" t="s">
        <v>103</v>
      </c>
      <c r="G40" t="s">
        <v>245</v>
      </c>
      <c r="H40" s="84" t="s">
        <v>246</v>
      </c>
      <c r="I40" t="s">
        <v>26</v>
      </c>
      <c r="J40" t="s">
        <v>16</v>
      </c>
      <c r="K40" t="s">
        <v>16</v>
      </c>
      <c r="L40" s="1">
        <v>45949</v>
      </c>
      <c r="N40" t="s">
        <v>10</v>
      </c>
      <c r="S40" t="s">
        <v>67</v>
      </c>
      <c r="T40" s="1"/>
      <c r="U40">
        <v>1</v>
      </c>
      <c r="V40">
        <v>1</v>
      </c>
      <c r="W40">
        <v>0</v>
      </c>
    </row>
    <row r="41" spans="5:23" x14ac:dyDescent="0.25">
      <c r="E41" t="s">
        <v>34</v>
      </c>
      <c r="F41" t="s">
        <v>103</v>
      </c>
      <c r="G41" t="s">
        <v>247</v>
      </c>
      <c r="H41" s="84" t="s">
        <v>248</v>
      </c>
      <c r="I41" t="s">
        <v>26</v>
      </c>
      <c r="J41" t="s">
        <v>16</v>
      </c>
      <c r="K41" t="s">
        <v>16</v>
      </c>
      <c r="L41" s="1">
        <v>45949</v>
      </c>
      <c r="N41" t="s">
        <v>7</v>
      </c>
      <c r="S41" t="s">
        <v>67</v>
      </c>
      <c r="T41" s="1"/>
      <c r="U41">
        <v>1</v>
      </c>
      <c r="V41">
        <v>1</v>
      </c>
      <c r="W41">
        <v>0</v>
      </c>
    </row>
    <row r="42" spans="5:23" x14ac:dyDescent="0.25">
      <c r="E42" t="s">
        <v>34</v>
      </c>
      <c r="F42" t="s">
        <v>229</v>
      </c>
      <c r="G42" t="s">
        <v>249</v>
      </c>
      <c r="H42" s="84" t="s">
        <v>250</v>
      </c>
      <c r="I42" t="s">
        <v>26</v>
      </c>
      <c r="J42" t="s">
        <v>16</v>
      </c>
      <c r="K42" t="s">
        <v>16</v>
      </c>
      <c r="L42" s="1">
        <v>45949</v>
      </c>
      <c r="N42" t="s">
        <v>10</v>
      </c>
      <c r="S42" t="s">
        <v>67</v>
      </c>
      <c r="T42" s="1"/>
      <c r="U42">
        <v>1</v>
      </c>
      <c r="V42">
        <v>1</v>
      </c>
      <c r="W42">
        <v>0</v>
      </c>
    </row>
    <row r="43" spans="5:23" x14ac:dyDescent="0.25">
      <c r="E43" t="s">
        <v>34</v>
      </c>
      <c r="F43" t="s">
        <v>229</v>
      </c>
      <c r="G43" t="s">
        <v>251</v>
      </c>
      <c r="H43" s="84" t="s">
        <v>252</v>
      </c>
      <c r="I43" t="s">
        <v>26</v>
      </c>
      <c r="J43" t="s">
        <v>16</v>
      </c>
      <c r="K43" t="s">
        <v>16</v>
      </c>
      <c r="L43" s="1">
        <v>45949</v>
      </c>
      <c r="N43" t="s">
        <v>7</v>
      </c>
      <c r="S43" t="s">
        <v>67</v>
      </c>
      <c r="T43" s="1"/>
      <c r="U43">
        <v>1</v>
      </c>
      <c r="V43">
        <v>1</v>
      </c>
      <c r="W43">
        <v>0</v>
      </c>
    </row>
    <row r="44" spans="5:23" x14ac:dyDescent="0.25">
      <c r="L44" s="1"/>
      <c r="T44" s="1"/>
      <c r="U44">
        <v>0</v>
      </c>
      <c r="V44">
        <v>0</v>
      </c>
      <c r="W44">
        <v>0</v>
      </c>
    </row>
    <row r="45" spans="5:23" x14ac:dyDescent="0.25">
      <c r="L45" s="1"/>
      <c r="U45" s="35">
        <f>SUBTOTAL(109,Tableau245610[rec])</f>
        <v>5</v>
      </c>
      <c r="V45" s="59">
        <f>SUBTOTAL(109,Tableau245610[re])</f>
        <v>4</v>
      </c>
      <c r="W45" s="29">
        <f>SUBTOTAL(109,Tableau245610[nr])</f>
        <v>1</v>
      </c>
    </row>
  </sheetData>
  <mergeCells count="5">
    <mergeCell ref="E2:H2"/>
    <mergeCell ref="E16:H16"/>
    <mergeCell ref="E26:H26"/>
    <mergeCell ref="E36:H36"/>
    <mergeCell ref="E3:H3"/>
  </mergeCells>
  <dataValidations count="9">
    <dataValidation type="list" allowBlank="1" showInputMessage="1" showErrorMessage="1" sqref="I29:I32">
      <formula1>lyc</formula1>
    </dataValidation>
    <dataValidation type="list" allowBlank="1" showInputMessage="1" showErrorMessage="1" sqref="I19:I22">
      <formula1>cem</formula1>
    </dataValidation>
    <dataValidation type="list" allowBlank="1" showInputMessage="1" showErrorMessage="1" sqref="P6:P9 P19:P22 P29:P32 P39:P44">
      <formula1>pdr</formula1>
    </dataValidation>
    <dataValidation type="list" allowBlank="1" showInputMessage="1" showErrorMessage="1" sqref="N6:N9 N29:N32 N19:N22 N39:N44">
      <formula1>tech</formula1>
    </dataValidation>
    <dataValidation type="list" allowBlank="1" showInputMessage="1" showErrorMessage="1" sqref="S6:S9 S39:S44 S19:S22 S29:S32">
      <formula1>"oui,non"</formula1>
    </dataValidation>
    <dataValidation type="list" allowBlank="1" showInputMessage="1" showErrorMessage="1" sqref="J6:J9 J39:J44 J19:J22 J29:J32">
      <formula1>wilaya</formula1>
    </dataValidation>
    <dataValidation type="list" allowBlank="1" showInputMessage="1" showErrorMessage="1" sqref="I6:I9">
      <formula1>ep</formula1>
    </dataValidation>
    <dataValidation type="list" allowBlank="1" showInputMessage="1" showErrorMessage="1" sqref="E6:E9 E19:E22 E39:E44 E29:E32">
      <formula1>topo</formula1>
    </dataValidation>
    <dataValidation type="list" allowBlank="1" showInputMessage="1" showErrorMessage="1" sqref="I39:I44">
      <formula1>dr</formula1>
    </dataValidation>
  </dataValidations>
  <pageMargins left="0.7" right="0.7" top="0.75" bottom="0.75" header="0.3" footer="0.3"/>
  <pageSetup paperSize="9" orientation="portrait" r:id="rId1"/>
  <drawing r:id="rId2"/>
  <tableParts count="4"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FB43A"/>
  </sheetPr>
  <dimension ref="A1:W47"/>
  <sheetViews>
    <sheetView tabSelected="1" topLeftCell="C7" zoomScale="90" zoomScaleNormal="90" workbookViewId="0">
      <selection activeCell="I19" sqref="I19"/>
    </sheetView>
  </sheetViews>
  <sheetFormatPr baseColWidth="10" defaultColWidth="9.140625" defaultRowHeight="15" x14ac:dyDescent="0.25"/>
  <cols>
    <col min="1" max="3" width="9.140625" style="27"/>
    <col min="5" max="5" width="22.5703125" customWidth="1"/>
    <col min="9" max="9" width="17.28515625" customWidth="1"/>
    <col min="10" max="10" width="10.85546875" customWidth="1"/>
    <col min="11" max="11" width="10.42578125" customWidth="1"/>
    <col min="12" max="12" width="11.7109375" customWidth="1"/>
    <col min="14" max="14" width="14.28515625" customWidth="1"/>
    <col min="19" max="19" width="7.42578125" customWidth="1"/>
    <col min="20" max="20" width="11.7109375" customWidth="1"/>
    <col min="21" max="21" width="5.28515625" customWidth="1"/>
    <col min="22" max="22" width="4.5703125" customWidth="1"/>
    <col min="23" max="23" width="4.42578125" customWidth="1"/>
  </cols>
  <sheetData>
    <row r="1" spans="5:23" x14ac:dyDescent="0.25">
      <c r="J1" s="30">
        <f>Tableau211[[#Totals],[rec]]+Tableau2412[[#Totals],[rec]]+Tableau24513[[#Totals],[rec]]+Tableau245614[[#Totals],[rec]]</f>
        <v>9</v>
      </c>
      <c r="K1" s="57">
        <f>Tableau211[[#Totals],[re]]+Tableau2412[[#Totals],[re]]+Tableau24513[[#Totals],[re]]+Tableau245614[[#Totals],[re]]</f>
        <v>9</v>
      </c>
      <c r="L1" s="31">
        <f>Tableau211[[#Totals],[nr]]+Tableau2412[[#Totals],[nr]]+Tableau24513[[#Totals],[nr]]+Tableau245614[[#Totals],[nr]]</f>
        <v>0</v>
      </c>
    </row>
    <row r="2" spans="5:23" ht="23.25" x14ac:dyDescent="0.35">
      <c r="E2" s="66" t="s">
        <v>43</v>
      </c>
      <c r="F2" s="66"/>
      <c r="G2" s="66"/>
      <c r="H2" s="66"/>
      <c r="J2" s="32" t="s">
        <v>72</v>
      </c>
      <c r="K2" s="58" t="s">
        <v>73</v>
      </c>
      <c r="L2" s="33" t="s">
        <v>74</v>
      </c>
    </row>
    <row r="5" spans="5:23" x14ac:dyDescent="0.25">
      <c r="E5" s="28" t="s">
        <v>44</v>
      </c>
      <c r="F5" s="28" t="s">
        <v>45</v>
      </c>
      <c r="G5" s="28" t="s">
        <v>46</v>
      </c>
      <c r="H5" s="28" t="s">
        <v>47</v>
      </c>
      <c r="I5" s="28" t="s">
        <v>48</v>
      </c>
      <c r="J5" s="28" t="s">
        <v>49</v>
      </c>
      <c r="K5" s="28" t="s">
        <v>50</v>
      </c>
      <c r="L5" s="28" t="s">
        <v>51</v>
      </c>
      <c r="M5" s="28" t="s">
        <v>52</v>
      </c>
      <c r="N5" s="28" t="s">
        <v>53</v>
      </c>
      <c r="O5" s="28" t="s">
        <v>54</v>
      </c>
      <c r="P5" s="28" t="s">
        <v>55</v>
      </c>
      <c r="Q5" s="28" t="s">
        <v>56</v>
      </c>
      <c r="R5" s="28" t="s">
        <v>57</v>
      </c>
      <c r="S5" s="28" t="s">
        <v>58</v>
      </c>
      <c r="T5" s="28" t="s">
        <v>66</v>
      </c>
      <c r="U5" s="2" t="s">
        <v>63</v>
      </c>
      <c r="V5" s="3" t="s">
        <v>64</v>
      </c>
      <c r="W5" s="4" t="s">
        <v>65</v>
      </c>
    </row>
    <row r="6" spans="5:23" x14ac:dyDescent="0.25">
      <c r="L6" s="1"/>
      <c r="T6" s="1"/>
      <c r="U6">
        <v>0</v>
      </c>
      <c r="V6">
        <v>0</v>
      </c>
      <c r="W6">
        <v>0</v>
      </c>
    </row>
    <row r="7" spans="5:23" x14ac:dyDescent="0.25">
      <c r="L7" s="1"/>
      <c r="T7" s="1"/>
      <c r="U7">
        <v>0</v>
      </c>
      <c r="V7">
        <v>0</v>
      </c>
      <c r="W7">
        <v>0</v>
      </c>
    </row>
    <row r="8" spans="5:23" x14ac:dyDescent="0.25">
      <c r="L8" s="1"/>
      <c r="T8" s="1"/>
      <c r="U8">
        <v>0</v>
      </c>
      <c r="V8">
        <v>0</v>
      </c>
      <c r="W8">
        <v>0</v>
      </c>
    </row>
    <row r="9" spans="5:23" x14ac:dyDescent="0.25">
      <c r="L9" s="1"/>
      <c r="T9" s="1"/>
      <c r="U9">
        <v>0</v>
      </c>
      <c r="V9">
        <v>0</v>
      </c>
      <c r="W9">
        <v>0</v>
      </c>
    </row>
    <row r="10" spans="5:23" x14ac:dyDescent="0.25">
      <c r="L10" s="1"/>
      <c r="U10" s="35">
        <f>SUBTOTAL(109,Tableau211[rec])</f>
        <v>0</v>
      </c>
      <c r="V10" s="59">
        <f>SUBTOTAL(109,Tableau211[re])</f>
        <v>0</v>
      </c>
      <c r="W10" s="29">
        <f>SUBTOTAL(109,Tableau211[nr])</f>
        <v>0</v>
      </c>
    </row>
    <row r="16" spans="5:23" ht="23.25" x14ac:dyDescent="0.35">
      <c r="E16" s="101" t="s">
        <v>62</v>
      </c>
      <c r="F16" s="101"/>
      <c r="G16" s="101"/>
      <c r="H16" s="101"/>
    </row>
    <row r="18" spans="5:23" x14ac:dyDescent="0.25">
      <c r="E18" s="28" t="s">
        <v>44</v>
      </c>
      <c r="F18" s="28" t="s">
        <v>45</v>
      </c>
      <c r="G18" s="28" t="s">
        <v>46</v>
      </c>
      <c r="H18" s="28" t="s">
        <v>47</v>
      </c>
      <c r="I18" s="28" t="s">
        <v>48</v>
      </c>
      <c r="J18" s="28" t="s">
        <v>49</v>
      </c>
      <c r="K18" s="28" t="s">
        <v>50</v>
      </c>
      <c r="L18" s="28" t="s">
        <v>51</v>
      </c>
      <c r="M18" s="28" t="s">
        <v>52</v>
      </c>
      <c r="N18" s="28" t="s">
        <v>53</v>
      </c>
      <c r="O18" s="28" t="s">
        <v>54</v>
      </c>
      <c r="P18" s="28" t="s">
        <v>55</v>
      </c>
      <c r="Q18" s="28" t="s">
        <v>56</v>
      </c>
      <c r="R18" s="28" t="s">
        <v>57</v>
      </c>
      <c r="S18" s="28" t="s">
        <v>58</v>
      </c>
      <c r="T18" s="28" t="s">
        <v>66</v>
      </c>
      <c r="U18" s="2" t="s">
        <v>63</v>
      </c>
      <c r="V18" s="59" t="s">
        <v>64</v>
      </c>
      <c r="W18" s="4" t="s">
        <v>65</v>
      </c>
    </row>
    <row r="19" spans="5:23" x14ac:dyDescent="0.25">
      <c r="E19" t="s">
        <v>197</v>
      </c>
      <c r="G19" s="84">
        <v>924</v>
      </c>
      <c r="I19" t="s">
        <v>189</v>
      </c>
      <c r="J19" t="s">
        <v>16</v>
      </c>
      <c r="K19" t="s">
        <v>193</v>
      </c>
      <c r="L19" s="1">
        <v>45949</v>
      </c>
      <c r="N19" t="s">
        <v>7</v>
      </c>
      <c r="S19" t="s">
        <v>67</v>
      </c>
      <c r="T19" s="1"/>
      <c r="U19">
        <v>1</v>
      </c>
      <c r="V19">
        <v>1</v>
      </c>
      <c r="W19">
        <v>0</v>
      </c>
    </row>
    <row r="20" spans="5:23" x14ac:dyDescent="0.25">
      <c r="L20" s="1"/>
      <c r="T20" s="1"/>
      <c r="U20">
        <v>0</v>
      </c>
      <c r="V20">
        <v>0</v>
      </c>
      <c r="W20">
        <v>0</v>
      </c>
    </row>
    <row r="21" spans="5:23" x14ac:dyDescent="0.25">
      <c r="L21" s="1"/>
      <c r="T21" s="1"/>
      <c r="U21">
        <v>0</v>
      </c>
      <c r="V21">
        <v>0</v>
      </c>
      <c r="W21">
        <v>0</v>
      </c>
    </row>
    <row r="22" spans="5:23" x14ac:dyDescent="0.25">
      <c r="L22" s="1"/>
      <c r="T22" s="1"/>
      <c r="U22">
        <v>0</v>
      </c>
      <c r="V22">
        <v>0</v>
      </c>
      <c r="W22">
        <v>0</v>
      </c>
    </row>
    <row r="23" spans="5:23" x14ac:dyDescent="0.25">
      <c r="L23" s="1"/>
      <c r="U23" s="35">
        <f>SUBTOTAL(109,Tableau2412[rec])</f>
        <v>1</v>
      </c>
      <c r="V23" s="59">
        <f>SUBTOTAL(109,Tableau2412[re])</f>
        <v>1</v>
      </c>
      <c r="W23" s="29">
        <f>SUBTOTAL(109,Tableau2412[nr])</f>
        <v>0</v>
      </c>
    </row>
    <row r="26" spans="5:23" ht="23.25" x14ac:dyDescent="0.35">
      <c r="E26" s="101" t="s">
        <v>68</v>
      </c>
      <c r="F26" s="101"/>
      <c r="G26" s="101"/>
      <c r="H26" s="101"/>
    </row>
    <row r="28" spans="5:23" x14ac:dyDescent="0.25">
      <c r="E28" s="28" t="s">
        <v>44</v>
      </c>
      <c r="F28" s="28" t="s">
        <v>45</v>
      </c>
      <c r="G28" s="28" t="s">
        <v>46</v>
      </c>
      <c r="H28" s="28" t="s">
        <v>47</v>
      </c>
      <c r="I28" s="28" t="s">
        <v>48</v>
      </c>
      <c r="J28" s="28" t="s">
        <v>49</v>
      </c>
      <c r="K28" s="28" t="s">
        <v>50</v>
      </c>
      <c r="L28" s="28" t="s">
        <v>51</v>
      </c>
      <c r="M28" s="28" t="s">
        <v>52</v>
      </c>
      <c r="N28" s="28" t="s">
        <v>53</v>
      </c>
      <c r="O28" s="28" t="s">
        <v>54</v>
      </c>
      <c r="P28" s="28" t="s">
        <v>55</v>
      </c>
      <c r="Q28" s="28" t="s">
        <v>56</v>
      </c>
      <c r="R28" s="28" t="s">
        <v>57</v>
      </c>
      <c r="S28" s="28" t="s">
        <v>58</v>
      </c>
      <c r="T28" s="28" t="s">
        <v>66</v>
      </c>
      <c r="U28" s="2" t="s">
        <v>63</v>
      </c>
      <c r="V28" s="59" t="s">
        <v>64</v>
      </c>
      <c r="W28" s="4" t="s">
        <v>65</v>
      </c>
    </row>
    <row r="29" spans="5:23" x14ac:dyDescent="0.25">
      <c r="E29" t="s">
        <v>107</v>
      </c>
      <c r="F29" t="s">
        <v>108</v>
      </c>
      <c r="G29" t="s">
        <v>108</v>
      </c>
      <c r="H29" s="84" t="s">
        <v>109</v>
      </c>
      <c r="I29" t="s">
        <v>91</v>
      </c>
      <c r="J29" t="s">
        <v>16</v>
      </c>
      <c r="K29" t="s">
        <v>16</v>
      </c>
      <c r="L29" s="1">
        <v>45949</v>
      </c>
      <c r="M29" t="s">
        <v>59</v>
      </c>
      <c r="N29" t="s">
        <v>7</v>
      </c>
      <c r="O29" t="s">
        <v>60</v>
      </c>
      <c r="S29" t="s">
        <v>67</v>
      </c>
      <c r="T29" s="1">
        <v>45949</v>
      </c>
      <c r="U29">
        <v>1</v>
      </c>
      <c r="V29">
        <v>1</v>
      </c>
      <c r="W29">
        <v>0</v>
      </c>
    </row>
    <row r="30" spans="5:23" x14ac:dyDescent="0.25">
      <c r="E30" t="s">
        <v>107</v>
      </c>
      <c r="F30" t="s">
        <v>108</v>
      </c>
      <c r="G30" t="s">
        <v>108</v>
      </c>
      <c r="H30" s="84" t="s">
        <v>110</v>
      </c>
      <c r="I30" t="s">
        <v>91</v>
      </c>
      <c r="J30" t="s">
        <v>16</v>
      </c>
      <c r="K30" t="s">
        <v>16</v>
      </c>
      <c r="L30" s="1">
        <v>45949</v>
      </c>
      <c r="M30" t="s">
        <v>59</v>
      </c>
      <c r="N30" t="s">
        <v>9</v>
      </c>
      <c r="O30" t="s">
        <v>60</v>
      </c>
      <c r="S30" t="s">
        <v>67</v>
      </c>
      <c r="T30" s="1">
        <v>45949</v>
      </c>
      <c r="U30">
        <v>1</v>
      </c>
      <c r="V30">
        <v>1</v>
      </c>
      <c r="W30">
        <v>0</v>
      </c>
    </row>
    <row r="31" spans="5:23" x14ac:dyDescent="0.25">
      <c r="E31" t="s">
        <v>107</v>
      </c>
      <c r="F31" t="s">
        <v>108</v>
      </c>
      <c r="G31" t="s">
        <v>108</v>
      </c>
      <c r="H31" s="84" t="s">
        <v>111</v>
      </c>
      <c r="I31" t="s">
        <v>91</v>
      </c>
      <c r="J31" t="s">
        <v>16</v>
      </c>
      <c r="K31" t="s">
        <v>16</v>
      </c>
      <c r="L31" s="1">
        <v>45949</v>
      </c>
      <c r="M31" t="s">
        <v>59</v>
      </c>
      <c r="N31" t="s">
        <v>7</v>
      </c>
      <c r="O31" t="s">
        <v>60</v>
      </c>
      <c r="S31" t="s">
        <v>67</v>
      </c>
      <c r="T31" s="1">
        <v>45949</v>
      </c>
      <c r="U31">
        <v>1</v>
      </c>
      <c r="V31">
        <v>1</v>
      </c>
      <c r="W31">
        <v>0</v>
      </c>
    </row>
    <row r="32" spans="5:23" x14ac:dyDescent="0.25">
      <c r="E32" t="s">
        <v>255</v>
      </c>
      <c r="F32" t="s">
        <v>256</v>
      </c>
      <c r="G32" t="s">
        <v>257</v>
      </c>
      <c r="H32" s="82">
        <v>4711</v>
      </c>
      <c r="I32" t="s">
        <v>91</v>
      </c>
      <c r="J32" t="s">
        <v>16</v>
      </c>
      <c r="K32" t="s">
        <v>16</v>
      </c>
      <c r="L32" s="1">
        <v>45949</v>
      </c>
      <c r="M32" t="s">
        <v>59</v>
      </c>
      <c r="N32" t="s">
        <v>9</v>
      </c>
      <c r="S32" t="s">
        <v>67</v>
      </c>
      <c r="T32" s="1">
        <v>45949</v>
      </c>
      <c r="U32">
        <v>1</v>
      </c>
      <c r="V32">
        <v>1</v>
      </c>
      <c r="W32">
        <v>0</v>
      </c>
    </row>
    <row r="33" spans="5:23" x14ac:dyDescent="0.25">
      <c r="E33" t="s">
        <v>255</v>
      </c>
      <c r="F33" t="s">
        <v>256</v>
      </c>
      <c r="G33" t="s">
        <v>258</v>
      </c>
      <c r="H33" s="82">
        <v>6322</v>
      </c>
      <c r="I33" t="s">
        <v>91</v>
      </c>
      <c r="J33" t="s">
        <v>16</v>
      </c>
      <c r="K33" t="s">
        <v>16</v>
      </c>
      <c r="L33" s="1">
        <v>45949</v>
      </c>
      <c r="M33" t="s">
        <v>59</v>
      </c>
      <c r="N33" t="s">
        <v>7</v>
      </c>
      <c r="S33" t="s">
        <v>67</v>
      </c>
      <c r="T33" s="1">
        <v>45949</v>
      </c>
      <c r="U33">
        <v>1</v>
      </c>
      <c r="V33">
        <v>1</v>
      </c>
      <c r="W33">
        <v>0</v>
      </c>
    </row>
    <row r="34" spans="5:23" x14ac:dyDescent="0.25">
      <c r="E34" t="s">
        <v>255</v>
      </c>
      <c r="F34" t="s">
        <v>256</v>
      </c>
      <c r="G34" t="s">
        <v>259</v>
      </c>
      <c r="H34" s="82">
        <v>6320</v>
      </c>
      <c r="I34" t="s">
        <v>91</v>
      </c>
      <c r="J34" t="s">
        <v>16</v>
      </c>
      <c r="K34" t="s">
        <v>16</v>
      </c>
      <c r="L34" s="1">
        <v>45949</v>
      </c>
      <c r="M34" t="s">
        <v>59</v>
      </c>
      <c r="N34" t="s">
        <v>9</v>
      </c>
      <c r="S34" t="s">
        <v>67</v>
      </c>
      <c r="T34" s="1">
        <v>45949</v>
      </c>
      <c r="U34">
        <v>1</v>
      </c>
      <c r="V34">
        <v>1</v>
      </c>
      <c r="W34">
        <v>0</v>
      </c>
    </row>
    <row r="35" spans="5:23" x14ac:dyDescent="0.25">
      <c r="E35" t="s">
        <v>255</v>
      </c>
      <c r="F35" t="s">
        <v>256</v>
      </c>
      <c r="G35" t="s">
        <v>260</v>
      </c>
      <c r="H35" s="82">
        <v>3518</v>
      </c>
      <c r="I35" t="s">
        <v>91</v>
      </c>
      <c r="J35" t="s">
        <v>16</v>
      </c>
      <c r="K35" t="s">
        <v>16</v>
      </c>
      <c r="L35" s="1">
        <v>45949</v>
      </c>
      <c r="M35" t="s">
        <v>59</v>
      </c>
      <c r="N35" t="s">
        <v>7</v>
      </c>
      <c r="S35" t="s">
        <v>67</v>
      </c>
      <c r="T35" s="1">
        <v>45949</v>
      </c>
      <c r="U35">
        <v>1</v>
      </c>
      <c r="V35">
        <v>1</v>
      </c>
      <c r="W35">
        <v>0</v>
      </c>
    </row>
    <row r="36" spans="5:23" x14ac:dyDescent="0.25">
      <c r="E36" t="s">
        <v>255</v>
      </c>
      <c r="F36" t="s">
        <v>256</v>
      </c>
      <c r="G36" t="s">
        <v>261</v>
      </c>
      <c r="H36" s="82">
        <v>634</v>
      </c>
      <c r="I36" t="s">
        <v>91</v>
      </c>
      <c r="J36" t="s">
        <v>16</v>
      </c>
      <c r="K36" t="s">
        <v>16</v>
      </c>
      <c r="L36" s="1">
        <v>45949</v>
      </c>
      <c r="M36" t="s">
        <v>59</v>
      </c>
      <c r="N36" t="s">
        <v>9</v>
      </c>
      <c r="S36" t="s">
        <v>67</v>
      </c>
      <c r="T36" s="1">
        <v>45949</v>
      </c>
      <c r="U36">
        <v>1</v>
      </c>
      <c r="V36">
        <v>1</v>
      </c>
      <c r="W36">
        <v>0</v>
      </c>
    </row>
    <row r="37" spans="5:23" x14ac:dyDescent="0.25">
      <c r="L37" s="1"/>
      <c r="U37" s="35">
        <f>SUBTOTAL(109,Tableau24513[rec])</f>
        <v>8</v>
      </c>
      <c r="V37" s="59">
        <f>SUBTOTAL(109,Tableau24513[re])</f>
        <v>8</v>
      </c>
      <c r="W37" s="29">
        <f>SUBTOTAL(109,Tableau24513[nr])</f>
        <v>0</v>
      </c>
    </row>
    <row r="40" spans="5:23" ht="23.25" x14ac:dyDescent="0.35">
      <c r="E40" s="101" t="s">
        <v>69</v>
      </c>
      <c r="F40" s="101"/>
      <c r="G40" s="101"/>
      <c r="H40" s="101"/>
    </row>
    <row r="42" spans="5:23" x14ac:dyDescent="0.25">
      <c r="E42" s="28" t="s">
        <v>44</v>
      </c>
      <c r="F42" s="28" t="s">
        <v>45</v>
      </c>
      <c r="G42" s="28" t="s">
        <v>46</v>
      </c>
      <c r="H42" s="28" t="s">
        <v>47</v>
      </c>
      <c r="I42" s="28" t="s">
        <v>48</v>
      </c>
      <c r="J42" s="28" t="s">
        <v>49</v>
      </c>
      <c r="K42" s="28" t="s">
        <v>50</v>
      </c>
      <c r="L42" s="28" t="s">
        <v>51</v>
      </c>
      <c r="M42" s="28" t="s">
        <v>52</v>
      </c>
      <c r="N42" s="28" t="s">
        <v>53</v>
      </c>
      <c r="O42" s="28" t="s">
        <v>54</v>
      </c>
      <c r="P42" s="28" t="s">
        <v>55</v>
      </c>
      <c r="Q42" s="28" t="s">
        <v>56</v>
      </c>
      <c r="R42" s="28" t="s">
        <v>57</v>
      </c>
      <c r="S42" s="28" t="s">
        <v>58</v>
      </c>
      <c r="T42" s="28" t="s">
        <v>66</v>
      </c>
      <c r="U42" s="2" t="s">
        <v>63</v>
      </c>
      <c r="V42" s="59" t="s">
        <v>64</v>
      </c>
      <c r="W42" s="4" t="s">
        <v>65</v>
      </c>
    </row>
    <row r="43" spans="5:23" x14ac:dyDescent="0.25">
      <c r="L43" s="1"/>
      <c r="T43" s="1"/>
      <c r="U43">
        <v>0</v>
      </c>
      <c r="V43">
        <v>0</v>
      </c>
      <c r="W43">
        <v>0</v>
      </c>
    </row>
    <row r="44" spans="5:23" x14ac:dyDescent="0.25">
      <c r="L44" s="1"/>
      <c r="T44" s="1"/>
      <c r="U44">
        <v>0</v>
      </c>
      <c r="V44">
        <v>0</v>
      </c>
      <c r="W44">
        <v>0</v>
      </c>
    </row>
    <row r="45" spans="5:23" x14ac:dyDescent="0.25">
      <c r="L45" s="1"/>
      <c r="T45" s="1"/>
      <c r="U45">
        <v>0</v>
      </c>
      <c r="V45">
        <v>0</v>
      </c>
      <c r="W45">
        <v>0</v>
      </c>
    </row>
    <row r="46" spans="5:23" x14ac:dyDescent="0.25">
      <c r="L46" s="1"/>
      <c r="T46" s="1"/>
      <c r="U46">
        <v>0</v>
      </c>
      <c r="V46">
        <v>0</v>
      </c>
      <c r="W46">
        <v>0</v>
      </c>
    </row>
    <row r="47" spans="5:23" x14ac:dyDescent="0.25">
      <c r="L47" s="1"/>
      <c r="U47" s="35">
        <f>SUBTOTAL(109,Tableau245614[rec])</f>
        <v>0</v>
      </c>
      <c r="V47" s="59">
        <f>SUBTOTAL(109,Tableau245614[re])</f>
        <v>0</v>
      </c>
      <c r="W47" s="29">
        <f>SUBTOTAL(109,Tableau245614[nr])</f>
        <v>0</v>
      </c>
    </row>
  </sheetData>
  <mergeCells count="3">
    <mergeCell ref="E16:H16"/>
    <mergeCell ref="E26:H26"/>
    <mergeCell ref="E40:H40"/>
  </mergeCells>
  <dataValidations count="9">
    <dataValidation type="list" allowBlank="1" showInputMessage="1" showErrorMessage="1" sqref="I43:I46">
      <formula1>dr</formula1>
    </dataValidation>
    <dataValidation type="list" allowBlank="1" showInputMessage="1" showErrorMessage="1" sqref="I19:I22">
      <formula1>cem</formula1>
    </dataValidation>
    <dataValidation type="list" allowBlank="1" showInputMessage="1" showErrorMessage="1" sqref="P6:P9 P19:P22 P43:P46 P29:P36">
      <formula1>pdr</formula1>
    </dataValidation>
    <dataValidation type="list" allowBlank="1" showInputMessage="1" showErrorMessage="1" sqref="N6:N9 N19:N22 N43:N46 N29:N36">
      <formula1>tech</formula1>
    </dataValidation>
    <dataValidation type="list" allowBlank="1" showInputMessage="1" showErrorMessage="1" sqref="S6:S9 S19:S22 S43:S46 S29:S36">
      <formula1>"oui,non"</formula1>
    </dataValidation>
    <dataValidation type="list" allowBlank="1" showInputMessage="1" showErrorMessage="1" sqref="J6:J9 J19:J22 J43:J46 J29:J36">
      <formula1>wilaya</formula1>
    </dataValidation>
    <dataValidation type="list" allowBlank="1" showInputMessage="1" showErrorMessage="1" sqref="I6:I9">
      <formula1>ep</formula1>
    </dataValidation>
    <dataValidation type="list" allowBlank="1" showInputMessage="1" showErrorMessage="1" sqref="E6:E9 E19:E22 E43:E46 E29:E36">
      <formula1>dida</formula1>
    </dataValidation>
    <dataValidation type="list" allowBlank="1" showInputMessage="1" showErrorMessage="1" sqref="I29:I36">
      <formula1>lyc</formula1>
    </dataValidation>
  </dataValidation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27"/>
  <sheetViews>
    <sheetView topLeftCell="B1" workbookViewId="0">
      <selection activeCell="H21" sqref="H21"/>
    </sheetView>
  </sheetViews>
  <sheetFormatPr baseColWidth="10" defaultColWidth="9.140625" defaultRowHeight="15" x14ac:dyDescent="0.25"/>
  <cols>
    <col min="1" max="3" width="9.140625" style="72"/>
    <col min="5" max="5" width="18.42578125" customWidth="1"/>
    <col min="6" max="6" width="5.85546875" customWidth="1"/>
    <col min="7" max="7" width="13.85546875" customWidth="1"/>
    <col min="8" max="8" width="17.140625" customWidth="1"/>
    <col min="9" max="9" width="12" customWidth="1"/>
    <col min="10" max="10" width="19.42578125" customWidth="1"/>
    <col min="11" max="11" width="20.85546875" customWidth="1"/>
    <col min="12" max="12" width="28.85546875" customWidth="1"/>
    <col min="13" max="13" width="12.85546875" customWidth="1"/>
    <col min="14" max="14" width="13.5703125" customWidth="1"/>
    <col min="15" max="15" width="5" style="67" customWidth="1"/>
  </cols>
  <sheetData>
    <row r="1" spans="4:15" ht="18.75" customHeight="1" x14ac:dyDescent="0.25"/>
    <row r="2" spans="4:15" ht="18" customHeight="1" x14ac:dyDescent="0.25">
      <c r="E2" s="102" t="s">
        <v>267</v>
      </c>
      <c r="F2" s="102"/>
      <c r="G2" s="102"/>
      <c r="H2" s="102"/>
      <c r="I2" s="102"/>
      <c r="J2" s="102"/>
      <c r="K2" s="102"/>
      <c r="L2" s="102"/>
      <c r="M2" s="102"/>
      <c r="N2" s="102"/>
      <c r="O2" s="102"/>
    </row>
    <row r="3" spans="4:15" ht="15.75" customHeight="1" thickBot="1" x14ac:dyDescent="0.3"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</row>
    <row r="4" spans="4:15" ht="15.75" thickTop="1" x14ac:dyDescent="0.25"/>
    <row r="5" spans="4:15" x14ac:dyDescent="0.25">
      <c r="E5" s="73" t="s">
        <v>268</v>
      </c>
      <c r="F5" s="74" t="s">
        <v>269</v>
      </c>
      <c r="G5" s="74" t="s">
        <v>270</v>
      </c>
      <c r="H5" s="74" t="s">
        <v>271</v>
      </c>
      <c r="I5" s="74" t="s">
        <v>279</v>
      </c>
      <c r="J5" s="74" t="s">
        <v>272</v>
      </c>
      <c r="K5" s="74" t="s">
        <v>273</v>
      </c>
      <c r="L5" s="75" t="s">
        <v>274</v>
      </c>
      <c r="M5" s="74" t="s">
        <v>275</v>
      </c>
      <c r="N5" s="74" t="s">
        <v>56</v>
      </c>
      <c r="O5" s="74" t="s">
        <v>57</v>
      </c>
    </row>
    <row r="6" spans="4:15" ht="15.75" x14ac:dyDescent="0.25">
      <c r="D6">
        <v>1</v>
      </c>
      <c r="E6" s="11" t="s">
        <v>199</v>
      </c>
      <c r="F6" s="79">
        <v>2023</v>
      </c>
      <c r="G6" s="12" t="s">
        <v>276</v>
      </c>
      <c r="H6" s="76" t="s">
        <v>277</v>
      </c>
      <c r="I6" s="77">
        <v>45950</v>
      </c>
      <c r="J6" s="12" t="s">
        <v>278</v>
      </c>
      <c r="K6" s="12" t="s">
        <v>280</v>
      </c>
      <c r="L6" s="12" t="s">
        <v>280</v>
      </c>
      <c r="M6" s="14"/>
      <c r="N6" s="14"/>
      <c r="O6" s="78">
        <v>0</v>
      </c>
    </row>
    <row r="7" spans="4:15" ht="15.75" x14ac:dyDescent="0.25">
      <c r="D7">
        <v>2</v>
      </c>
      <c r="E7" s="11" t="s">
        <v>199</v>
      </c>
      <c r="F7" s="79">
        <v>2023</v>
      </c>
      <c r="G7" s="12" t="s">
        <v>276</v>
      </c>
      <c r="H7" s="76" t="s">
        <v>281</v>
      </c>
      <c r="I7" s="77">
        <v>45950</v>
      </c>
      <c r="J7" s="12" t="s">
        <v>282</v>
      </c>
      <c r="K7" s="12" t="s">
        <v>282</v>
      </c>
      <c r="L7" s="13" t="s">
        <v>283</v>
      </c>
      <c r="M7" s="14"/>
      <c r="N7" s="12"/>
      <c r="O7" s="79">
        <v>0</v>
      </c>
    </row>
    <row r="8" spans="4:15" ht="15.75" x14ac:dyDescent="0.25">
      <c r="D8">
        <v>3</v>
      </c>
      <c r="E8" s="11" t="s">
        <v>199</v>
      </c>
      <c r="F8" s="79">
        <v>2023</v>
      </c>
      <c r="G8" s="12" t="s">
        <v>276</v>
      </c>
      <c r="H8" s="76" t="s">
        <v>284</v>
      </c>
      <c r="I8" s="77">
        <v>45950</v>
      </c>
      <c r="J8" s="12" t="s">
        <v>282</v>
      </c>
      <c r="K8" s="12" t="s">
        <v>282</v>
      </c>
      <c r="L8" s="13" t="s">
        <v>283</v>
      </c>
      <c r="M8" s="14"/>
      <c r="N8" s="12"/>
      <c r="O8" s="79">
        <v>0</v>
      </c>
    </row>
    <row r="9" spans="4:15" ht="15.75" x14ac:dyDescent="0.25">
      <c r="D9">
        <v>4</v>
      </c>
      <c r="E9" s="89" t="s">
        <v>199</v>
      </c>
      <c r="F9" s="90">
        <v>2023</v>
      </c>
      <c r="G9" s="91" t="s">
        <v>276</v>
      </c>
      <c r="H9" s="92" t="s">
        <v>285</v>
      </c>
      <c r="I9" s="93">
        <v>45950</v>
      </c>
      <c r="J9" s="91" t="s">
        <v>286</v>
      </c>
      <c r="K9" s="91" t="s">
        <v>136</v>
      </c>
      <c r="L9" s="94" t="s">
        <v>287</v>
      </c>
      <c r="M9" s="95" t="s">
        <v>136</v>
      </c>
      <c r="N9" s="12"/>
      <c r="O9" s="79">
        <v>1</v>
      </c>
    </row>
    <row r="10" spans="4:15" ht="15.75" x14ac:dyDescent="0.25">
      <c r="D10">
        <v>5</v>
      </c>
      <c r="E10" s="11" t="s">
        <v>199</v>
      </c>
      <c r="F10" s="79">
        <v>2023</v>
      </c>
      <c r="G10" s="12" t="s">
        <v>276</v>
      </c>
      <c r="H10" s="76" t="s">
        <v>203</v>
      </c>
      <c r="I10" s="77">
        <v>45950</v>
      </c>
      <c r="J10" s="12" t="s">
        <v>282</v>
      </c>
      <c r="K10" s="12" t="s">
        <v>282</v>
      </c>
      <c r="L10" s="13" t="s">
        <v>283</v>
      </c>
      <c r="M10" s="14"/>
      <c r="N10" s="12"/>
      <c r="O10" s="79">
        <v>0</v>
      </c>
    </row>
    <row r="11" spans="4:15" ht="15.75" x14ac:dyDescent="0.25">
      <c r="D11">
        <v>6</v>
      </c>
      <c r="E11" s="89" t="s">
        <v>199</v>
      </c>
      <c r="F11" s="90">
        <v>2023</v>
      </c>
      <c r="G11" s="91" t="s">
        <v>276</v>
      </c>
      <c r="H11" s="92" t="s">
        <v>288</v>
      </c>
      <c r="I11" s="93">
        <v>45950</v>
      </c>
      <c r="J11" s="91" t="s">
        <v>286</v>
      </c>
      <c r="K11" s="91" t="s">
        <v>136</v>
      </c>
      <c r="L11" s="94" t="s">
        <v>287</v>
      </c>
      <c r="M11" s="95" t="s">
        <v>136</v>
      </c>
      <c r="N11" s="12"/>
      <c r="O11" s="79">
        <v>1</v>
      </c>
    </row>
    <row r="12" spans="4:15" ht="15.75" x14ac:dyDescent="0.25">
      <c r="D12">
        <v>7</v>
      </c>
      <c r="E12" s="89" t="s">
        <v>199</v>
      </c>
      <c r="F12" s="90">
        <v>2023</v>
      </c>
      <c r="G12" s="91" t="s">
        <v>276</v>
      </c>
      <c r="H12" s="92" t="s">
        <v>289</v>
      </c>
      <c r="I12" s="93">
        <v>45950</v>
      </c>
      <c r="J12" s="91" t="s">
        <v>136</v>
      </c>
      <c r="K12" s="91" t="s">
        <v>136</v>
      </c>
      <c r="L12" s="94" t="s">
        <v>287</v>
      </c>
      <c r="M12" s="95" t="s">
        <v>136</v>
      </c>
      <c r="N12" s="12"/>
      <c r="O12" s="79">
        <v>1</v>
      </c>
    </row>
    <row r="13" spans="4:15" ht="15.75" x14ac:dyDescent="0.25">
      <c r="D13">
        <v>8</v>
      </c>
      <c r="E13" s="89" t="s">
        <v>199</v>
      </c>
      <c r="F13" s="90">
        <v>2023</v>
      </c>
      <c r="G13" s="91" t="s">
        <v>276</v>
      </c>
      <c r="H13" s="92" t="s">
        <v>290</v>
      </c>
      <c r="I13" s="93">
        <v>45950</v>
      </c>
      <c r="J13" s="91" t="s">
        <v>136</v>
      </c>
      <c r="K13" s="91" t="s">
        <v>136</v>
      </c>
      <c r="L13" s="94" t="s">
        <v>287</v>
      </c>
      <c r="M13" s="95" t="s">
        <v>136</v>
      </c>
      <c r="N13" s="16"/>
      <c r="O13" s="80">
        <v>1</v>
      </c>
    </row>
    <row r="14" spans="4:15" ht="15.75" x14ac:dyDescent="0.25">
      <c r="D14">
        <v>9</v>
      </c>
      <c r="E14" s="11" t="s">
        <v>199</v>
      </c>
      <c r="F14" s="79">
        <v>2023</v>
      </c>
      <c r="G14" s="12" t="s">
        <v>276</v>
      </c>
      <c r="H14" s="76" t="s">
        <v>291</v>
      </c>
      <c r="I14" s="77">
        <v>45950</v>
      </c>
      <c r="J14" s="12" t="s">
        <v>282</v>
      </c>
      <c r="K14" s="12" t="s">
        <v>282</v>
      </c>
      <c r="L14" s="13" t="s">
        <v>283</v>
      </c>
      <c r="M14" s="14"/>
      <c r="N14" s="16"/>
      <c r="O14" s="80">
        <v>0</v>
      </c>
    </row>
    <row r="15" spans="4:15" ht="15.75" x14ac:dyDescent="0.25">
      <c r="D15">
        <v>10</v>
      </c>
      <c r="E15" s="11" t="s">
        <v>199</v>
      </c>
      <c r="F15" s="79">
        <v>2023</v>
      </c>
      <c r="G15" s="12" t="s">
        <v>276</v>
      </c>
      <c r="H15" s="76" t="s">
        <v>292</v>
      </c>
      <c r="I15" s="77">
        <v>45950</v>
      </c>
      <c r="J15" s="12" t="s">
        <v>282</v>
      </c>
      <c r="K15" s="12" t="s">
        <v>282</v>
      </c>
      <c r="L15" s="13" t="s">
        <v>283</v>
      </c>
      <c r="M15" s="14"/>
      <c r="N15" s="16"/>
      <c r="O15" s="80">
        <v>0</v>
      </c>
    </row>
    <row r="16" spans="4:15" ht="15.75" x14ac:dyDescent="0.25">
      <c r="D16">
        <v>11</v>
      </c>
      <c r="E16" s="89" t="s">
        <v>199</v>
      </c>
      <c r="F16" s="90">
        <v>2023</v>
      </c>
      <c r="G16" s="91" t="s">
        <v>276</v>
      </c>
      <c r="H16" s="92" t="s">
        <v>293</v>
      </c>
      <c r="I16" s="93">
        <v>45950</v>
      </c>
      <c r="J16" s="91" t="s">
        <v>136</v>
      </c>
      <c r="K16" s="91" t="s">
        <v>136</v>
      </c>
      <c r="L16" s="94" t="s">
        <v>294</v>
      </c>
      <c r="M16" s="95" t="s">
        <v>136</v>
      </c>
      <c r="N16" s="16"/>
      <c r="O16" s="80">
        <v>1</v>
      </c>
    </row>
    <row r="17" spans="4:15" ht="15.75" x14ac:dyDescent="0.25">
      <c r="D17">
        <v>12</v>
      </c>
      <c r="E17" s="11" t="s">
        <v>199</v>
      </c>
      <c r="F17" s="79">
        <v>2023</v>
      </c>
      <c r="G17" s="12" t="s">
        <v>276</v>
      </c>
      <c r="H17" s="76" t="s">
        <v>202</v>
      </c>
      <c r="I17" s="77">
        <v>45950</v>
      </c>
      <c r="J17" s="12" t="s">
        <v>295</v>
      </c>
      <c r="K17" s="12" t="s">
        <v>280</v>
      </c>
      <c r="L17" s="12" t="s">
        <v>280</v>
      </c>
      <c r="M17" s="12"/>
      <c r="N17" s="12"/>
      <c r="O17" s="79">
        <v>0</v>
      </c>
    </row>
    <row r="18" spans="4:15" ht="15.75" x14ac:dyDescent="0.25">
      <c r="D18">
        <v>13</v>
      </c>
      <c r="E18" s="11" t="s">
        <v>199</v>
      </c>
      <c r="F18" s="79">
        <v>2023</v>
      </c>
      <c r="G18" s="12" t="s">
        <v>276</v>
      </c>
      <c r="H18" s="76" t="s">
        <v>296</v>
      </c>
      <c r="I18" s="77">
        <v>45950</v>
      </c>
      <c r="J18" s="12" t="s">
        <v>295</v>
      </c>
      <c r="K18" s="12" t="s">
        <v>280</v>
      </c>
      <c r="L18" s="12" t="s">
        <v>280</v>
      </c>
      <c r="M18" s="12"/>
      <c r="N18" s="12"/>
      <c r="O18" s="79">
        <v>0</v>
      </c>
    </row>
    <row r="19" spans="4:15" ht="15.75" x14ac:dyDescent="0.25">
      <c r="D19">
        <v>14</v>
      </c>
      <c r="E19" s="11" t="s">
        <v>199</v>
      </c>
      <c r="F19" s="79">
        <v>2023</v>
      </c>
      <c r="G19" s="12" t="s">
        <v>276</v>
      </c>
      <c r="H19" s="76" t="s">
        <v>297</v>
      </c>
      <c r="I19" s="77">
        <v>45950</v>
      </c>
      <c r="J19" s="12" t="s">
        <v>295</v>
      </c>
      <c r="K19" s="12" t="s">
        <v>280</v>
      </c>
      <c r="L19" s="12" t="s">
        <v>280</v>
      </c>
      <c r="M19" s="12"/>
      <c r="N19" s="12"/>
      <c r="O19" s="79">
        <v>0</v>
      </c>
    </row>
    <row r="20" spans="4:15" ht="15.75" x14ac:dyDescent="0.25">
      <c r="D20">
        <v>15</v>
      </c>
      <c r="E20" s="89" t="s">
        <v>199</v>
      </c>
      <c r="F20" s="90">
        <v>2023</v>
      </c>
      <c r="G20" s="91" t="s">
        <v>276</v>
      </c>
      <c r="H20" s="92" t="s">
        <v>298</v>
      </c>
      <c r="I20" s="93">
        <v>45950</v>
      </c>
      <c r="J20" s="91" t="s">
        <v>136</v>
      </c>
      <c r="K20" s="91" t="s">
        <v>136</v>
      </c>
      <c r="L20" s="94" t="s">
        <v>294</v>
      </c>
      <c r="M20" s="91" t="s">
        <v>136</v>
      </c>
      <c r="N20" s="12"/>
      <c r="O20" s="79">
        <v>1</v>
      </c>
    </row>
    <row r="21" spans="4:15" ht="15.75" x14ac:dyDescent="0.25">
      <c r="D21">
        <v>16</v>
      </c>
      <c r="E21" s="89" t="s">
        <v>199</v>
      </c>
      <c r="F21" s="90">
        <v>2023</v>
      </c>
      <c r="G21" s="91" t="s">
        <v>276</v>
      </c>
      <c r="H21" s="92" t="s">
        <v>299</v>
      </c>
      <c r="I21" s="93">
        <v>45950</v>
      </c>
      <c r="J21" s="91" t="s">
        <v>136</v>
      </c>
      <c r="K21" s="91" t="s">
        <v>136</v>
      </c>
      <c r="L21" s="94" t="s">
        <v>294</v>
      </c>
      <c r="M21" s="91" t="s">
        <v>136</v>
      </c>
      <c r="N21" s="12"/>
      <c r="O21" s="79">
        <v>1</v>
      </c>
    </row>
    <row r="22" spans="4:15" ht="15.75" x14ac:dyDescent="0.25">
      <c r="D22">
        <v>17</v>
      </c>
      <c r="E22" s="11" t="s">
        <v>199</v>
      </c>
      <c r="F22" s="79">
        <v>2023</v>
      </c>
      <c r="G22" s="12" t="s">
        <v>276</v>
      </c>
      <c r="H22" s="76" t="s">
        <v>300</v>
      </c>
      <c r="I22" s="77">
        <v>45950</v>
      </c>
      <c r="J22" s="12" t="s">
        <v>295</v>
      </c>
      <c r="K22" s="12" t="s">
        <v>280</v>
      </c>
      <c r="L22" s="12" t="s">
        <v>280</v>
      </c>
      <c r="M22" s="12"/>
      <c r="N22" s="12"/>
      <c r="O22" s="79">
        <v>0</v>
      </c>
    </row>
    <row r="23" spans="4:15" ht="15.75" x14ac:dyDescent="0.25">
      <c r="D23">
        <v>18</v>
      </c>
      <c r="E23" s="11" t="s">
        <v>199</v>
      </c>
      <c r="F23" s="79">
        <v>2023</v>
      </c>
      <c r="G23" s="12" t="s">
        <v>276</v>
      </c>
      <c r="H23" s="76" t="s">
        <v>301</v>
      </c>
      <c r="I23" s="77">
        <v>45950</v>
      </c>
      <c r="J23" s="12" t="s">
        <v>295</v>
      </c>
      <c r="K23" s="12" t="s">
        <v>280</v>
      </c>
      <c r="L23" s="12" t="s">
        <v>280</v>
      </c>
      <c r="M23" s="12"/>
      <c r="N23" s="12"/>
      <c r="O23" s="79">
        <v>0</v>
      </c>
    </row>
    <row r="24" spans="4:15" ht="15.75" x14ac:dyDescent="0.25">
      <c r="D24">
        <v>19</v>
      </c>
      <c r="E24" s="11" t="s">
        <v>199</v>
      </c>
      <c r="F24" s="79">
        <v>2023</v>
      </c>
      <c r="G24" s="12" t="s">
        <v>276</v>
      </c>
      <c r="H24" s="76" t="s">
        <v>302</v>
      </c>
      <c r="I24" s="77">
        <v>45950</v>
      </c>
      <c r="J24" s="12" t="s">
        <v>282</v>
      </c>
      <c r="K24" s="12" t="s">
        <v>282</v>
      </c>
      <c r="L24" s="13" t="s">
        <v>283</v>
      </c>
      <c r="M24" s="12"/>
      <c r="N24" s="12"/>
      <c r="O24" s="79">
        <v>0</v>
      </c>
    </row>
    <row r="27" spans="4:15" ht="15.75" x14ac:dyDescent="0.25">
      <c r="I27" s="76"/>
    </row>
  </sheetData>
  <mergeCells count="1">
    <mergeCell ref="E2:O3"/>
  </mergeCells>
  <dataValidations count="3">
    <dataValidation type="list" allowBlank="1" showInputMessage="1" showErrorMessage="1" sqref="E6:E24">
      <formula1>ep</formula1>
    </dataValidation>
    <dataValidation type="list" allowBlank="1" showInputMessage="1" showErrorMessage="1" sqref="F6:F24">
      <formula1>"2022,2023,2024"</formula1>
    </dataValidation>
    <dataValidation type="list" allowBlank="1" showInputMessage="1" showErrorMessage="1" sqref="M6:M24">
      <formula1>pdr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10</vt:i4>
      </vt:variant>
    </vt:vector>
  </HeadingPairs>
  <TitlesOfParts>
    <vt:vector size="16" baseType="lpstr">
      <vt:lpstr>Acceuil</vt:lpstr>
      <vt:lpstr>Liste de donnees</vt:lpstr>
      <vt:lpstr>Informatique</vt:lpstr>
      <vt:lpstr>Topograpique</vt:lpstr>
      <vt:lpstr>Didactique</vt:lpstr>
      <vt:lpstr>intervention enie</vt:lpstr>
      <vt:lpstr>cem</vt:lpstr>
      <vt:lpstr>dida</vt:lpstr>
      <vt:lpstr>dr</vt:lpstr>
      <vt:lpstr>ep</vt:lpstr>
      <vt:lpstr>info</vt:lpstr>
      <vt:lpstr>lyc</vt:lpstr>
      <vt:lpstr>pdr</vt:lpstr>
      <vt:lpstr>tech</vt:lpstr>
      <vt:lpstr>topo</vt:lpstr>
      <vt:lpstr>wilaya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nsc</dc:creator>
  <cp:lastModifiedBy>Hanane</cp:lastModifiedBy>
  <dcterms:created xsi:type="dcterms:W3CDTF">2015-06-05T18:19:34Z</dcterms:created>
  <dcterms:modified xsi:type="dcterms:W3CDTF">2025-11-24T13:34:25Z</dcterms:modified>
</cp:coreProperties>
</file>